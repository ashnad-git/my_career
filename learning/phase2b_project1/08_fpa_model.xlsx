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ashnad/my_career/learning/phase2b_project1/"/>
    </mc:Choice>
  </mc:AlternateContent>
  <xr:revisionPtr revIDLastSave="0" documentId="13_ncr:1_{E7C96C61-7F9B-0948-B27A-3EE8BD2F66D3}" xr6:coauthVersionLast="47" xr6:coauthVersionMax="47" xr10:uidLastSave="{00000000-0000-0000-0000-000000000000}"/>
  <bookViews>
    <workbookView xWindow="0" yWindow="600" windowWidth="28800" windowHeight="17400" activeTab="8" xr2:uid="{00000000-000D-0000-FFFF-FFFF00000000}"/>
  </bookViews>
  <sheets>
    <sheet name="Assumptions" sheetId="1" r:id="rId1"/>
    <sheet name="Revenue Build" sheetId="2" r:id="rId2"/>
    <sheet name="COGS Build" sheetId="3" r:id="rId3"/>
    <sheet name="OpEx Detail" sheetId="4" r:id="rId4"/>
    <sheet name="P&amp;L Summary" sheetId="5" r:id="rId5"/>
    <sheet name="Variance Analysis" sheetId="6" r:id="rId6"/>
    <sheet name="Rolling Forecast" sheetId="7" r:id="rId7"/>
    <sheet name="Scenario Analysis" sheetId="8" r:id="rId8"/>
    <sheet name="Dashboard"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L7" i="6" l="1"/>
  <c r="C23" i="9"/>
  <c r="D23" i="9" s="1"/>
  <c r="C24" i="9"/>
  <c r="D24" i="9" s="1"/>
  <c r="C25" i="9"/>
  <c r="D25" i="9" s="1"/>
  <c r="C27" i="9"/>
  <c r="D27" i="9" s="1"/>
  <c r="C28" i="9"/>
  <c r="D28" i="9" s="1"/>
  <c r="C29" i="9"/>
  <c r="D29" i="9" s="1"/>
  <c r="C22" i="9"/>
  <c r="D22" i="9" s="1"/>
  <c r="B23" i="9"/>
  <c r="B24" i="9"/>
  <c r="B25" i="9"/>
  <c r="B27" i="9"/>
  <c r="B28" i="9"/>
  <c r="B29" i="9"/>
  <c r="B22" i="9"/>
  <c r="B11" i="9"/>
  <c r="D11" i="9"/>
  <c r="E11" i="9"/>
  <c r="F11" i="9"/>
  <c r="D12" i="9"/>
  <c r="E12" i="9"/>
  <c r="F12" i="9"/>
  <c r="D13" i="9"/>
  <c r="E13" i="9"/>
  <c r="F13" i="9"/>
  <c r="D14" i="9"/>
  <c r="E14" i="9"/>
  <c r="F14" i="9"/>
  <c r="D16" i="9"/>
  <c r="E16" i="9"/>
  <c r="F16" i="9"/>
  <c r="D17" i="9"/>
  <c r="E17" i="9"/>
  <c r="F17" i="9"/>
  <c r="D18" i="9"/>
  <c r="E18" i="9"/>
  <c r="F18" i="9"/>
  <c r="C12" i="9"/>
  <c r="C13" i="9"/>
  <c r="C14" i="9"/>
  <c r="C16" i="9"/>
  <c r="C17" i="9"/>
  <c r="C18" i="9"/>
  <c r="C11" i="9"/>
  <c r="B12" i="9"/>
  <c r="B13" i="9"/>
  <c r="B14" i="9"/>
  <c r="B16" i="9"/>
  <c r="B17" i="9"/>
  <c r="B18" i="9"/>
  <c r="V14" i="6"/>
  <c r="X14" i="6" s="1"/>
  <c r="V10" i="6"/>
  <c r="X10" i="6" s="1"/>
  <c r="U14" i="6"/>
  <c r="T14" i="6"/>
  <c r="E6" i="9"/>
  <c r="X13" i="6"/>
  <c r="V9" i="6"/>
  <c r="U10" i="6"/>
  <c r="T10" i="6"/>
  <c r="D6" i="9"/>
  <c r="C6" i="9"/>
  <c r="B6" i="9"/>
  <c r="D15" i="8"/>
  <c r="C15" i="8"/>
  <c r="G15" i="8"/>
  <c r="G20" i="8"/>
  <c r="G19" i="8"/>
  <c r="F15" i="8"/>
  <c r="G16" i="8"/>
  <c r="G14" i="8"/>
  <c r="F20" i="8"/>
  <c r="F16" i="8"/>
  <c r="F19" i="8"/>
  <c r="F14" i="8"/>
  <c r="C19" i="8"/>
  <c r="D19" i="8"/>
  <c r="B19" i="8"/>
  <c r="D16" i="8"/>
  <c r="C16" i="8"/>
  <c r="B15" i="8"/>
  <c r="B16" i="8" s="1"/>
  <c r="D14" i="8"/>
  <c r="C14" i="8"/>
  <c r="B14" i="8"/>
  <c r="D9" i="8"/>
  <c r="C9" i="8"/>
  <c r="D6" i="8"/>
  <c r="C6" i="8"/>
  <c r="B6" i="8"/>
  <c r="B8" i="8"/>
  <c r="B9" i="8"/>
  <c r="N14" i="7"/>
  <c r="N13" i="7"/>
  <c r="N12" i="7"/>
  <c r="D9" i="5"/>
  <c r="D13" i="5"/>
  <c r="F12" i="7"/>
  <c r="G12" i="7"/>
  <c r="H12" i="7"/>
  <c r="I12" i="7"/>
  <c r="J12" i="7"/>
  <c r="K12" i="7"/>
  <c r="L12" i="7"/>
  <c r="M12" i="7"/>
  <c r="E12" i="7"/>
  <c r="C9" i="7"/>
  <c r="D9" i="7"/>
  <c r="F8" i="7"/>
  <c r="G8" i="7"/>
  <c r="H8" i="7"/>
  <c r="I8" i="7"/>
  <c r="J8" i="7"/>
  <c r="K8" i="7"/>
  <c r="L8" i="7"/>
  <c r="M8" i="7"/>
  <c r="E8" i="7"/>
  <c r="N8" i="7" s="1"/>
  <c r="F7" i="7"/>
  <c r="F9" i="7" s="1"/>
  <c r="G7" i="7"/>
  <c r="G9" i="7" s="1"/>
  <c r="H7" i="7"/>
  <c r="H9" i="7" s="1"/>
  <c r="I7" i="7"/>
  <c r="I9" i="7" s="1"/>
  <c r="J7" i="7"/>
  <c r="J9" i="7" s="1"/>
  <c r="K7" i="7"/>
  <c r="K9" i="7" s="1"/>
  <c r="L7" i="7"/>
  <c r="L9" i="7" s="1"/>
  <c r="M7" i="7"/>
  <c r="M9" i="7" s="1"/>
  <c r="E7" i="7"/>
  <c r="B9" i="7"/>
  <c r="R8" i="5"/>
  <c r="Q8" i="5"/>
  <c r="P8" i="5"/>
  <c r="B8" i="5"/>
  <c r="N19" i="4"/>
  <c r="M19" i="4"/>
  <c r="L19" i="4"/>
  <c r="K19" i="4"/>
  <c r="J19" i="4"/>
  <c r="I19" i="4"/>
  <c r="H19" i="4"/>
  <c r="G19" i="4"/>
  <c r="F19" i="4"/>
  <c r="E19" i="4"/>
  <c r="D19" i="4"/>
  <c r="C19" i="4"/>
  <c r="O19" i="4" s="1"/>
  <c r="N18" i="4"/>
  <c r="M18" i="4"/>
  <c r="L18" i="4"/>
  <c r="K18" i="4"/>
  <c r="J18" i="4"/>
  <c r="I18" i="4"/>
  <c r="H18" i="4"/>
  <c r="G18" i="4"/>
  <c r="F18" i="4"/>
  <c r="E18" i="4"/>
  <c r="D18" i="4"/>
  <c r="C18" i="4"/>
  <c r="N13" i="4"/>
  <c r="M13" i="4"/>
  <c r="L13" i="4"/>
  <c r="K13" i="4"/>
  <c r="J13" i="4"/>
  <c r="I13" i="4"/>
  <c r="H13" i="4"/>
  <c r="G13" i="4"/>
  <c r="F13" i="4"/>
  <c r="E13" i="4"/>
  <c r="D13" i="4"/>
  <c r="C13" i="4"/>
  <c r="O13" i="4" s="1"/>
  <c r="N12" i="4"/>
  <c r="M12" i="4"/>
  <c r="L12" i="4"/>
  <c r="K12" i="4"/>
  <c r="J12" i="4"/>
  <c r="I12" i="4"/>
  <c r="H12" i="4"/>
  <c r="G12" i="4"/>
  <c r="F12" i="4"/>
  <c r="E12" i="4"/>
  <c r="D12" i="4"/>
  <c r="C12" i="4"/>
  <c r="N7" i="4"/>
  <c r="M7" i="4"/>
  <c r="L7" i="4"/>
  <c r="K7" i="4"/>
  <c r="J7" i="4"/>
  <c r="O7" i="4" s="1"/>
  <c r="I7" i="4"/>
  <c r="H7" i="4"/>
  <c r="G7" i="4"/>
  <c r="F7" i="4"/>
  <c r="E7" i="4"/>
  <c r="D7" i="4"/>
  <c r="C7" i="4"/>
  <c r="N6" i="4"/>
  <c r="M6" i="4"/>
  <c r="L6" i="4"/>
  <c r="K6" i="4"/>
  <c r="J6" i="4"/>
  <c r="I6" i="4"/>
  <c r="H6" i="4"/>
  <c r="G6" i="4"/>
  <c r="F6" i="4"/>
  <c r="E6" i="4"/>
  <c r="D6" i="4"/>
  <c r="C6" i="4"/>
  <c r="B23" i="3"/>
  <c r="B22" i="3"/>
  <c r="B21" i="3"/>
  <c r="B20" i="3"/>
  <c r="B16" i="3"/>
  <c r="B15" i="3"/>
  <c r="B14" i="3"/>
  <c r="B13" i="3"/>
  <c r="B9" i="3"/>
  <c r="B8" i="3"/>
  <c r="B7" i="3"/>
  <c r="B6" i="3"/>
  <c r="N5" i="2" a="1"/>
  <c r="N5" i="2" s="1"/>
  <c r="M5" i="2" a="1"/>
  <c r="M5" i="2" s="1"/>
  <c r="L5" i="2" a="1"/>
  <c r="L5" i="2" s="1"/>
  <c r="K5" i="2" a="1"/>
  <c r="K5" i="2" s="1"/>
  <c r="J5" i="2" a="1"/>
  <c r="J5" i="2" s="1"/>
  <c r="I5" i="2" a="1"/>
  <c r="I5" i="2" s="1"/>
  <c r="H5" i="2" a="1"/>
  <c r="H5" i="2" s="1"/>
  <c r="G5" i="2" a="1"/>
  <c r="G5" i="2" s="1"/>
  <c r="F5" i="2" a="1"/>
  <c r="F5" i="2"/>
  <c r="E5" i="2" a="1"/>
  <c r="E5" i="2"/>
  <c r="D5" i="2" a="1"/>
  <c r="D5" i="2"/>
  <c r="C5" i="2" a="1"/>
  <c r="C5" i="2"/>
  <c r="B29" i="1"/>
  <c r="O12" i="6"/>
  <c r="I12" i="6"/>
  <c r="C12" i="6"/>
  <c r="O8" i="6"/>
  <c r="I8" i="6"/>
  <c r="C8" i="6"/>
  <c r="O7" i="6"/>
  <c r="I7" i="6"/>
  <c r="C7" i="6"/>
  <c r="E23" i="9" l="1"/>
  <c r="F23" i="9"/>
  <c r="E24" i="9"/>
  <c r="F24" i="9"/>
  <c r="E25" i="9"/>
  <c r="F25" i="9"/>
  <c r="E27" i="9"/>
  <c r="F27" i="9"/>
  <c r="E28" i="9"/>
  <c r="F28" i="9"/>
  <c r="E29" i="9"/>
  <c r="F29" i="9"/>
  <c r="E22" i="9"/>
  <c r="F22" i="9"/>
  <c r="D17" i="8"/>
  <c r="D20" i="8"/>
  <c r="D21" i="8" s="1"/>
  <c r="C17" i="8"/>
  <c r="C20" i="8"/>
  <c r="C21" i="8" s="1"/>
  <c r="B17" i="8"/>
  <c r="B20" i="8"/>
  <c r="B21" i="8" s="1"/>
  <c r="C10" i="7"/>
  <c r="C13" i="7"/>
  <c r="C14" i="7" s="1"/>
  <c r="D10" i="7"/>
  <c r="D13" i="7"/>
  <c r="D14" i="7" s="1"/>
  <c r="F13" i="7"/>
  <c r="F14" i="7" s="1"/>
  <c r="F10" i="7"/>
  <c r="G13" i="7"/>
  <c r="G14" i="7" s="1"/>
  <c r="G10" i="7"/>
  <c r="H13" i="7"/>
  <c r="H14" i="7" s="1"/>
  <c r="H10" i="7"/>
  <c r="I13" i="7"/>
  <c r="I14" i="7" s="1"/>
  <c r="I10" i="7"/>
  <c r="J13" i="7"/>
  <c r="J14" i="7" s="1"/>
  <c r="J10" i="7"/>
  <c r="K13" i="7"/>
  <c r="K14" i="7" s="1"/>
  <c r="K10" i="7"/>
  <c r="L13" i="7"/>
  <c r="L14" i="7" s="1"/>
  <c r="L10" i="7"/>
  <c r="M13" i="7"/>
  <c r="M14" i="7" s="1"/>
  <c r="M10" i="7"/>
  <c r="N7" i="7"/>
  <c r="E9" i="7"/>
  <c r="N9" i="7"/>
  <c r="N10" i="7" s="1"/>
  <c r="B10" i="7"/>
  <c r="B13" i="7"/>
  <c r="B14" i="7" s="1"/>
  <c r="R9" i="5"/>
  <c r="O10" i="6" s="1"/>
  <c r="O9" i="6"/>
  <c r="R12" i="5"/>
  <c r="Q12" i="5"/>
  <c r="Q9" i="5"/>
  <c r="I10" i="6" s="1"/>
  <c r="I9" i="6"/>
  <c r="P12" i="5"/>
  <c r="P9" i="5"/>
  <c r="C10" i="6" s="1"/>
  <c r="C9" i="6"/>
  <c r="B12" i="5"/>
  <c r="B13" i="5" s="1"/>
  <c r="B9" i="5"/>
  <c r="O18" i="4"/>
  <c r="O12" i="4"/>
  <c r="O6" i="4"/>
  <c r="N7" i="2"/>
  <c r="N8" i="2" s="1"/>
  <c r="N9" i="2"/>
  <c r="N10" i="2" s="1"/>
  <c r="N7" i="3" s="1"/>
  <c r="N11" i="2"/>
  <c r="N12" i="2" s="1"/>
  <c r="N8" i="3" s="1"/>
  <c r="N13" i="2"/>
  <c r="N14" i="2" s="1"/>
  <c r="N9" i="3" s="1"/>
  <c r="N20" i="2"/>
  <c r="N21" i="2" s="1"/>
  <c r="N14" i="3" s="1"/>
  <c r="N22" i="2"/>
  <c r="N23" i="2" s="1"/>
  <c r="N15" i="3" s="1"/>
  <c r="N24" i="2"/>
  <c r="N25" i="2" s="1"/>
  <c r="N16" i="3" s="1"/>
  <c r="N18" i="2"/>
  <c r="N19" i="2" s="1"/>
  <c r="N29" i="2"/>
  <c r="N30" i="2" s="1"/>
  <c r="N31" i="2"/>
  <c r="N32" i="2" s="1"/>
  <c r="N21" i="3" s="1"/>
  <c r="N33" i="2"/>
  <c r="N34" i="2" s="1"/>
  <c r="N22" i="3" s="1"/>
  <c r="N35" i="2"/>
  <c r="N36" i="2" s="1"/>
  <c r="N23" i="3" s="1"/>
  <c r="M7" i="2"/>
  <c r="M8" i="2" s="1"/>
  <c r="M9" i="2"/>
  <c r="M10" i="2" s="1"/>
  <c r="M7" i="3" s="1"/>
  <c r="M11" i="2"/>
  <c r="M12" i="2" s="1"/>
  <c r="M8" i="3" s="1"/>
  <c r="M13" i="2"/>
  <c r="M14" i="2" s="1"/>
  <c r="M9" i="3" s="1"/>
  <c r="M20" i="2"/>
  <c r="M21" i="2" s="1"/>
  <c r="M14" i="3" s="1"/>
  <c r="M22" i="2"/>
  <c r="M23" i="2" s="1"/>
  <c r="M15" i="3" s="1"/>
  <c r="M24" i="2"/>
  <c r="M25" i="2" s="1"/>
  <c r="M16" i="3" s="1"/>
  <c r="M18" i="2"/>
  <c r="M19" i="2" s="1"/>
  <c r="M29" i="2"/>
  <c r="M30" i="2" s="1"/>
  <c r="M31" i="2"/>
  <c r="M32" i="2" s="1"/>
  <c r="M21" i="3" s="1"/>
  <c r="M33" i="2"/>
  <c r="M34" i="2" s="1"/>
  <c r="M22" i="3" s="1"/>
  <c r="M35" i="2"/>
  <c r="M36" i="2" s="1"/>
  <c r="M23" i="3" s="1"/>
  <c r="L7" i="2"/>
  <c r="L8" i="2" s="1"/>
  <c r="L9" i="2"/>
  <c r="L10" i="2" s="1"/>
  <c r="L7" i="3" s="1"/>
  <c r="L11" i="2"/>
  <c r="L12" i="2" s="1"/>
  <c r="L8" i="3" s="1"/>
  <c r="L13" i="2"/>
  <c r="L14" i="2" s="1"/>
  <c r="L9" i="3" s="1"/>
  <c r="L20" i="2"/>
  <c r="L21" i="2" s="1"/>
  <c r="L14" i="3" s="1"/>
  <c r="L22" i="2"/>
  <c r="L23" i="2" s="1"/>
  <c r="L15" i="3" s="1"/>
  <c r="L24" i="2"/>
  <c r="L25" i="2" s="1"/>
  <c r="L16" i="3" s="1"/>
  <c r="L18" i="2"/>
  <c r="L19" i="2" s="1"/>
  <c r="L29" i="2"/>
  <c r="L30" i="2" s="1"/>
  <c r="L31" i="2"/>
  <c r="L32" i="2" s="1"/>
  <c r="L21" i="3" s="1"/>
  <c r="L33" i="2"/>
  <c r="L34" i="2" s="1"/>
  <c r="L22" i="3" s="1"/>
  <c r="L35" i="2"/>
  <c r="L36" i="2" s="1"/>
  <c r="L23" i="3" s="1"/>
  <c r="K7" i="2"/>
  <c r="K8" i="2" s="1"/>
  <c r="K9" i="2"/>
  <c r="K10" i="2" s="1"/>
  <c r="K7" i="3" s="1"/>
  <c r="K11" i="2"/>
  <c r="K12" i="2" s="1"/>
  <c r="K8" i="3" s="1"/>
  <c r="K13" i="2"/>
  <c r="K14" i="2" s="1"/>
  <c r="K9" i="3" s="1"/>
  <c r="K20" i="2"/>
  <c r="K21" i="2" s="1"/>
  <c r="K14" i="3" s="1"/>
  <c r="K22" i="2"/>
  <c r="K23" i="2" s="1"/>
  <c r="K15" i="3" s="1"/>
  <c r="K24" i="2"/>
  <c r="K25" i="2" s="1"/>
  <c r="K16" i="3" s="1"/>
  <c r="K18" i="2"/>
  <c r="K19" i="2" s="1"/>
  <c r="K29" i="2"/>
  <c r="K30" i="2" s="1"/>
  <c r="K31" i="2"/>
  <c r="K32" i="2" s="1"/>
  <c r="K21" i="3" s="1"/>
  <c r="K33" i="2"/>
  <c r="K34" i="2" s="1"/>
  <c r="K22" i="3" s="1"/>
  <c r="K35" i="2"/>
  <c r="K36" i="2" s="1"/>
  <c r="K23" i="3" s="1"/>
  <c r="J18" i="2"/>
  <c r="J19" i="2" s="1"/>
  <c r="J29" i="2"/>
  <c r="J30" i="2" s="1"/>
  <c r="J31" i="2"/>
  <c r="J32" i="2" s="1"/>
  <c r="J21" i="3" s="1"/>
  <c r="J33" i="2"/>
  <c r="J34" i="2" s="1"/>
  <c r="J22" i="3" s="1"/>
  <c r="J35" i="2"/>
  <c r="J36" i="2" s="1"/>
  <c r="J23" i="3" s="1"/>
  <c r="J7" i="2"/>
  <c r="J8" i="2" s="1"/>
  <c r="J9" i="2"/>
  <c r="J10" i="2" s="1"/>
  <c r="J7" i="3" s="1"/>
  <c r="J11" i="2"/>
  <c r="J12" i="2" s="1"/>
  <c r="J8" i="3" s="1"/>
  <c r="J13" i="2"/>
  <c r="J14" i="2" s="1"/>
  <c r="J9" i="3" s="1"/>
  <c r="J20" i="2"/>
  <c r="J21" i="2" s="1"/>
  <c r="J14" i="3" s="1"/>
  <c r="J22" i="2"/>
  <c r="J23" i="2" s="1"/>
  <c r="J15" i="3" s="1"/>
  <c r="J24" i="2"/>
  <c r="J25" i="2" s="1"/>
  <c r="J16" i="3" s="1"/>
  <c r="I7" i="2"/>
  <c r="I8" i="2" s="1"/>
  <c r="I9" i="2"/>
  <c r="I10" i="2" s="1"/>
  <c r="I7" i="3" s="1"/>
  <c r="I11" i="2"/>
  <c r="I12" i="2" s="1"/>
  <c r="I8" i="3" s="1"/>
  <c r="I13" i="2"/>
  <c r="I14" i="2" s="1"/>
  <c r="I9" i="3" s="1"/>
  <c r="I20" i="2"/>
  <c r="I21" i="2" s="1"/>
  <c r="I14" i="3" s="1"/>
  <c r="I22" i="2"/>
  <c r="I23" i="2" s="1"/>
  <c r="I15" i="3" s="1"/>
  <c r="I24" i="2"/>
  <c r="I25" i="2" s="1"/>
  <c r="I16" i="3" s="1"/>
  <c r="I18" i="2"/>
  <c r="I19" i="2" s="1"/>
  <c r="I29" i="2"/>
  <c r="I30" i="2" s="1"/>
  <c r="I31" i="2"/>
  <c r="I32" i="2" s="1"/>
  <c r="I21" i="3" s="1"/>
  <c r="I33" i="2"/>
  <c r="I34" i="2" s="1"/>
  <c r="I22" i="3" s="1"/>
  <c r="I35" i="2"/>
  <c r="I36" i="2" s="1"/>
  <c r="I23" i="3" s="1"/>
  <c r="H20" i="2"/>
  <c r="H21" i="2" s="1"/>
  <c r="H14" i="3" s="1"/>
  <c r="H22" i="2"/>
  <c r="H23" i="2" s="1"/>
  <c r="H15" i="3" s="1"/>
  <c r="H24" i="2"/>
  <c r="H25" i="2" s="1"/>
  <c r="H16" i="3" s="1"/>
  <c r="H18" i="2"/>
  <c r="H19" i="2" s="1"/>
  <c r="H29" i="2"/>
  <c r="H30" i="2" s="1"/>
  <c r="H31" i="2"/>
  <c r="H32" i="2" s="1"/>
  <c r="H21" i="3" s="1"/>
  <c r="H33" i="2"/>
  <c r="H34" i="2" s="1"/>
  <c r="H22" i="3" s="1"/>
  <c r="H35" i="2"/>
  <c r="H36" i="2" s="1"/>
  <c r="H23" i="3" s="1"/>
  <c r="H7" i="2"/>
  <c r="H8" i="2" s="1"/>
  <c r="H9" i="2"/>
  <c r="H10" i="2" s="1"/>
  <c r="H7" i="3" s="1"/>
  <c r="H11" i="2"/>
  <c r="H12" i="2" s="1"/>
  <c r="H8" i="3" s="1"/>
  <c r="H13" i="2"/>
  <c r="H14" i="2" s="1"/>
  <c r="H9" i="3" s="1"/>
  <c r="G9" i="2"/>
  <c r="G10" i="2" s="1"/>
  <c r="G7" i="3" s="1"/>
  <c r="G11" i="2"/>
  <c r="G12" i="2" s="1"/>
  <c r="G8" i="3" s="1"/>
  <c r="G13" i="2"/>
  <c r="G14" i="2" s="1"/>
  <c r="G9" i="3" s="1"/>
  <c r="G20" i="2"/>
  <c r="G21" i="2" s="1"/>
  <c r="G14" i="3" s="1"/>
  <c r="G22" i="2"/>
  <c r="G23" i="2" s="1"/>
  <c r="G15" i="3" s="1"/>
  <c r="G24" i="2"/>
  <c r="G25" i="2" s="1"/>
  <c r="G16" i="3" s="1"/>
  <c r="G7" i="2"/>
  <c r="G8" i="2" s="1"/>
  <c r="G18" i="2"/>
  <c r="G19" i="2" s="1"/>
  <c r="G29" i="2"/>
  <c r="G30" i="2" s="1"/>
  <c r="G31" i="2"/>
  <c r="G32" i="2" s="1"/>
  <c r="G21" i="3" s="1"/>
  <c r="G33" i="2"/>
  <c r="G34" i="2" s="1"/>
  <c r="G22" i="3" s="1"/>
  <c r="G35" i="2"/>
  <c r="G36" i="2" s="1"/>
  <c r="G23" i="3" s="1"/>
  <c r="F29" i="2"/>
  <c r="F30" i="2" s="1"/>
  <c r="F7" i="2"/>
  <c r="F8" i="2" s="1"/>
  <c r="F35" i="2"/>
  <c r="F36" i="2" s="1"/>
  <c r="F23" i="3" s="1"/>
  <c r="F18" i="2"/>
  <c r="F19" i="2" s="1"/>
  <c r="F31" i="2"/>
  <c r="F32" i="2" s="1"/>
  <c r="F21" i="3" s="1"/>
  <c r="F33" i="2"/>
  <c r="F34" i="2" s="1"/>
  <c r="F22" i="3" s="1"/>
  <c r="F24" i="2"/>
  <c r="F25" i="2" s="1"/>
  <c r="F16" i="3" s="1"/>
  <c r="F9" i="2"/>
  <c r="F10" i="2" s="1"/>
  <c r="F7" i="3" s="1"/>
  <c r="F22" i="2"/>
  <c r="F23" i="2" s="1"/>
  <c r="F15" i="3" s="1"/>
  <c r="F11" i="2"/>
  <c r="F12" i="2" s="1"/>
  <c r="F8" i="3" s="1"/>
  <c r="F20" i="2"/>
  <c r="F21" i="2" s="1"/>
  <c r="F14" i="3" s="1"/>
  <c r="F13" i="2"/>
  <c r="F14" i="2" s="1"/>
  <c r="F9" i="3" s="1"/>
  <c r="E31" i="2"/>
  <c r="E32" i="2" s="1"/>
  <c r="E21" i="3" s="1"/>
  <c r="E7" i="2"/>
  <c r="E8" i="2" s="1"/>
  <c r="E29" i="2"/>
  <c r="E30" i="2" s="1"/>
  <c r="E35" i="2"/>
  <c r="E36" i="2" s="1"/>
  <c r="E23" i="3" s="1"/>
  <c r="E18" i="2"/>
  <c r="E19" i="2" s="1"/>
  <c r="E33" i="2"/>
  <c r="E34" i="2" s="1"/>
  <c r="E22" i="3" s="1"/>
  <c r="E24" i="2"/>
  <c r="E25" i="2" s="1"/>
  <c r="E16" i="3" s="1"/>
  <c r="E9" i="2"/>
  <c r="E10" i="2" s="1"/>
  <c r="E7" i="3" s="1"/>
  <c r="E22" i="2"/>
  <c r="E23" i="2" s="1"/>
  <c r="E15" i="3" s="1"/>
  <c r="E11" i="2"/>
  <c r="E12" i="2" s="1"/>
  <c r="E8" i="3" s="1"/>
  <c r="E20" i="2"/>
  <c r="E21" i="2" s="1"/>
  <c r="E14" i="3" s="1"/>
  <c r="E13" i="2"/>
  <c r="E14" i="2" s="1"/>
  <c r="E9" i="3" s="1"/>
  <c r="D31" i="2"/>
  <c r="D32" i="2" s="1"/>
  <c r="D21" i="3" s="1"/>
  <c r="D18" i="2"/>
  <c r="D19" i="2" s="1"/>
  <c r="D20" i="2"/>
  <c r="D21" i="2" s="1"/>
  <c r="D14" i="3" s="1"/>
  <c r="D13" i="2"/>
  <c r="D14" i="2" s="1"/>
  <c r="D9" i="3" s="1"/>
  <c r="D33" i="2"/>
  <c r="D34" i="2" s="1"/>
  <c r="D22" i="3" s="1"/>
  <c r="D7" i="2"/>
  <c r="D8" i="2" s="1"/>
  <c r="D22" i="2"/>
  <c r="D23" i="2" s="1"/>
  <c r="D15" i="3" s="1"/>
  <c r="D11" i="2"/>
  <c r="D12" i="2" s="1"/>
  <c r="D8" i="3" s="1"/>
  <c r="D29" i="2"/>
  <c r="D30" i="2" s="1"/>
  <c r="D35" i="2"/>
  <c r="D36" i="2" s="1"/>
  <c r="D23" i="3" s="1"/>
  <c r="D24" i="2"/>
  <c r="D25" i="2" s="1"/>
  <c r="D16" i="3" s="1"/>
  <c r="D9" i="2"/>
  <c r="D10" i="2" s="1"/>
  <c r="D7" i="3" s="1"/>
  <c r="C20" i="2"/>
  <c r="C18" i="2"/>
  <c r="C9" i="2"/>
  <c r="C31" i="2"/>
  <c r="C13" i="2"/>
  <c r="C22" i="2"/>
  <c r="C7" i="2"/>
  <c r="C35" i="2"/>
  <c r="C24" i="2"/>
  <c r="C29" i="2"/>
  <c r="O5" i="2"/>
  <c r="C11" i="2"/>
  <c r="C33" i="2"/>
  <c r="U12" i="6"/>
  <c r="U8" i="6"/>
  <c r="U7" i="6"/>
  <c r="E13" i="7" l="1"/>
  <c r="E14" i="7" s="1"/>
  <c r="E10" i="7"/>
  <c r="R13" i="5"/>
  <c r="O14" i="6" s="1"/>
  <c r="O13" i="6"/>
  <c r="Q13" i="5"/>
  <c r="I14" i="6" s="1"/>
  <c r="I13" i="6"/>
  <c r="P13" i="5"/>
  <c r="C14" i="6" s="1"/>
  <c r="C13" i="6"/>
  <c r="U9" i="6"/>
  <c r="N15" i="2"/>
  <c r="N6" i="3"/>
  <c r="N10" i="3" s="1"/>
  <c r="N26" i="3" s="1"/>
  <c r="N7" i="5" s="1"/>
  <c r="N26" i="2"/>
  <c r="N14" i="4" s="1"/>
  <c r="N15" i="4" s="1"/>
  <c r="N13" i="3"/>
  <c r="N17" i="3" s="1"/>
  <c r="N37" i="2"/>
  <c r="N20" i="4" s="1"/>
  <c r="N21" i="4" s="1"/>
  <c r="N20" i="3"/>
  <c r="N24" i="3" s="1"/>
  <c r="M15" i="2"/>
  <c r="M6" i="3"/>
  <c r="M10" i="3" s="1"/>
  <c r="M26" i="2"/>
  <c r="M14" i="4" s="1"/>
  <c r="M15" i="4" s="1"/>
  <c r="M13" i="3"/>
  <c r="M17" i="3" s="1"/>
  <c r="M37" i="2"/>
  <c r="M20" i="4" s="1"/>
  <c r="M21" i="4" s="1"/>
  <c r="M20" i="3"/>
  <c r="M24" i="3" s="1"/>
  <c r="L15" i="2"/>
  <c r="L6" i="3"/>
  <c r="L10" i="3" s="1"/>
  <c r="L26" i="3" s="1"/>
  <c r="L7" i="5" s="1"/>
  <c r="L26" i="2"/>
  <c r="L14" i="4" s="1"/>
  <c r="L15" i="4" s="1"/>
  <c r="L13" i="3"/>
  <c r="L17" i="3" s="1"/>
  <c r="L37" i="2"/>
  <c r="L20" i="4" s="1"/>
  <c r="L21" i="4" s="1"/>
  <c r="L20" i="3"/>
  <c r="L24" i="3" s="1"/>
  <c r="K15" i="2"/>
  <c r="K6" i="3"/>
  <c r="K10" i="3" s="1"/>
  <c r="K26" i="2"/>
  <c r="K14" i="4" s="1"/>
  <c r="K15" i="4" s="1"/>
  <c r="K13" i="3"/>
  <c r="K17" i="3" s="1"/>
  <c r="K37" i="2"/>
  <c r="K20" i="4" s="1"/>
  <c r="K21" i="4" s="1"/>
  <c r="K20" i="3"/>
  <c r="K24" i="3" s="1"/>
  <c r="J26" i="2"/>
  <c r="J14" i="4" s="1"/>
  <c r="J15" i="4" s="1"/>
  <c r="J13" i="3"/>
  <c r="J17" i="3" s="1"/>
  <c r="J37" i="2"/>
  <c r="J20" i="4" s="1"/>
  <c r="J21" i="4" s="1"/>
  <c r="J20" i="3"/>
  <c r="J24" i="3" s="1"/>
  <c r="J15" i="2"/>
  <c r="J6" i="3"/>
  <c r="J10" i="3" s="1"/>
  <c r="J26" i="3" s="1"/>
  <c r="J7" i="5" s="1"/>
  <c r="I15" i="2"/>
  <c r="I6" i="3"/>
  <c r="I10" i="3" s="1"/>
  <c r="I26" i="2"/>
  <c r="I14" i="4" s="1"/>
  <c r="I15" i="4" s="1"/>
  <c r="I13" i="3"/>
  <c r="I17" i="3" s="1"/>
  <c r="I37" i="2"/>
  <c r="I20" i="4" s="1"/>
  <c r="I21" i="4" s="1"/>
  <c r="I20" i="3"/>
  <c r="I24" i="3" s="1"/>
  <c r="H26" i="2"/>
  <c r="H14" i="4" s="1"/>
  <c r="H15" i="4" s="1"/>
  <c r="H13" i="3"/>
  <c r="H17" i="3" s="1"/>
  <c r="H37" i="2"/>
  <c r="H20" i="4" s="1"/>
  <c r="H21" i="4" s="1"/>
  <c r="H20" i="3"/>
  <c r="H24" i="3" s="1"/>
  <c r="H15" i="2"/>
  <c r="H6" i="3"/>
  <c r="H10" i="3" s="1"/>
  <c r="H26" i="3" s="1"/>
  <c r="H7" i="5" s="1"/>
  <c r="G15" i="2"/>
  <c r="G6" i="3"/>
  <c r="G10" i="3" s="1"/>
  <c r="G26" i="2"/>
  <c r="G14" i="4" s="1"/>
  <c r="G15" i="4" s="1"/>
  <c r="G13" i="3"/>
  <c r="G17" i="3" s="1"/>
  <c r="G37" i="2"/>
  <c r="G20" i="4" s="1"/>
  <c r="G21" i="4" s="1"/>
  <c r="G20" i="3"/>
  <c r="G24" i="3" s="1"/>
  <c r="F37" i="2"/>
  <c r="F20" i="4" s="1"/>
  <c r="F21" i="4" s="1"/>
  <c r="F20" i="3"/>
  <c r="F24" i="3" s="1"/>
  <c r="F15" i="2"/>
  <c r="F6" i="3"/>
  <c r="F10" i="3" s="1"/>
  <c r="F26" i="2"/>
  <c r="F14" i="4" s="1"/>
  <c r="F15" i="4" s="1"/>
  <c r="F13" i="3"/>
  <c r="F17" i="3" s="1"/>
  <c r="E15" i="2"/>
  <c r="E6" i="3"/>
  <c r="E10" i="3" s="1"/>
  <c r="E37" i="2"/>
  <c r="E20" i="4" s="1"/>
  <c r="E21" i="4" s="1"/>
  <c r="E20" i="3"/>
  <c r="E24" i="3" s="1"/>
  <c r="E26" i="2"/>
  <c r="E14" i="4" s="1"/>
  <c r="E15" i="4" s="1"/>
  <c r="E13" i="3"/>
  <c r="E17" i="3" s="1"/>
  <c r="D26" i="2"/>
  <c r="D14" i="4" s="1"/>
  <c r="D15" i="4" s="1"/>
  <c r="D13" i="3"/>
  <c r="D17" i="3" s="1"/>
  <c r="D15" i="2"/>
  <c r="D6" i="3"/>
  <c r="D10" i="3" s="1"/>
  <c r="D26" i="3" s="1"/>
  <c r="D7" i="5" s="1"/>
  <c r="H8" i="6" s="1"/>
  <c r="J8" i="6" s="1"/>
  <c r="D37" i="2"/>
  <c r="D20" i="4" s="1"/>
  <c r="D21" i="4" s="1"/>
  <c r="D20" i="3"/>
  <c r="D24" i="3" s="1"/>
  <c r="O20" i="2"/>
  <c r="C21" i="2"/>
  <c r="O18" i="2"/>
  <c r="C19" i="2"/>
  <c r="O9" i="2"/>
  <c r="C10" i="2"/>
  <c r="O31" i="2"/>
  <c r="C32" i="2"/>
  <c r="O13" i="2"/>
  <c r="C14" i="2"/>
  <c r="O22" i="2"/>
  <c r="C23" i="2"/>
  <c r="O7" i="2"/>
  <c r="C8" i="2"/>
  <c r="O35" i="2"/>
  <c r="C36" i="2"/>
  <c r="O24" i="2"/>
  <c r="C25" i="2"/>
  <c r="O29" i="2"/>
  <c r="C30" i="2"/>
  <c r="O11" i="2"/>
  <c r="C12" i="2"/>
  <c r="O33" i="2"/>
  <c r="C34" i="2"/>
  <c r="U13" i="6" l="1"/>
  <c r="N39" i="2"/>
  <c r="N6" i="5" s="1"/>
  <c r="N8" i="5" s="1"/>
  <c r="N8" i="4"/>
  <c r="N9" i="4" s="1"/>
  <c r="N23" i="4" s="1"/>
  <c r="N11" i="5" s="1"/>
  <c r="M39" i="2"/>
  <c r="M6" i="5" s="1"/>
  <c r="M8" i="4"/>
  <c r="M9" i="4" s="1"/>
  <c r="M23" i="4" s="1"/>
  <c r="M11" i="5" s="1"/>
  <c r="L39" i="2"/>
  <c r="L6" i="5" s="1"/>
  <c r="L8" i="5" s="1"/>
  <c r="L8" i="4"/>
  <c r="L9" i="4" s="1"/>
  <c r="L23" i="4" s="1"/>
  <c r="L11" i="5" s="1"/>
  <c r="K39" i="2"/>
  <c r="K6" i="5" s="1"/>
  <c r="K8" i="4"/>
  <c r="K9" i="4" s="1"/>
  <c r="K23" i="4" s="1"/>
  <c r="K11" i="5" s="1"/>
  <c r="J39" i="2"/>
  <c r="J6" i="5" s="1"/>
  <c r="J8" i="5" s="1"/>
  <c r="J8" i="4"/>
  <c r="J9" i="4" s="1"/>
  <c r="J23" i="4" s="1"/>
  <c r="J11" i="5" s="1"/>
  <c r="I39" i="2"/>
  <c r="I6" i="5" s="1"/>
  <c r="I8" i="4"/>
  <c r="I9" i="4" s="1"/>
  <c r="I23" i="4" s="1"/>
  <c r="I11" i="5" s="1"/>
  <c r="H39" i="2"/>
  <c r="H6" i="5" s="1"/>
  <c r="H8" i="5" s="1"/>
  <c r="H8" i="4"/>
  <c r="H9" i="4" s="1"/>
  <c r="H23" i="4" s="1"/>
  <c r="H11" i="5" s="1"/>
  <c r="G39" i="2"/>
  <c r="G6" i="5" s="1"/>
  <c r="G8" i="4"/>
  <c r="G9" i="4" s="1"/>
  <c r="G23" i="4" s="1"/>
  <c r="G11" i="5" s="1"/>
  <c r="F39" i="2"/>
  <c r="F6" i="5" s="1"/>
  <c r="F8" i="4"/>
  <c r="F9" i="4" s="1"/>
  <c r="F23" i="4" s="1"/>
  <c r="F11" i="5" s="1"/>
  <c r="E39" i="2"/>
  <c r="E6" i="5" s="1"/>
  <c r="E8" i="4"/>
  <c r="E9" i="4" s="1"/>
  <c r="E23" i="4" s="1"/>
  <c r="E11" i="5" s="1"/>
  <c r="N12" i="6" s="1"/>
  <c r="P12" i="6" s="1"/>
  <c r="D39" i="2"/>
  <c r="D6" i="5" s="1"/>
  <c r="D8" i="4"/>
  <c r="D9" i="4" s="1"/>
  <c r="D23" i="4" s="1"/>
  <c r="D11" i="5" s="1"/>
  <c r="H12" i="6" s="1"/>
  <c r="J12" i="6" s="1"/>
  <c r="L8" i="6"/>
  <c r="K8" i="6"/>
  <c r="O21" i="2"/>
  <c r="C14" i="3"/>
  <c r="O14" i="3" s="1"/>
  <c r="C26" i="2"/>
  <c r="C14" i="4" s="1"/>
  <c r="C13" i="3"/>
  <c r="O19" i="2"/>
  <c r="O10" i="2"/>
  <c r="C7" i="3"/>
  <c r="O7" i="3" s="1"/>
  <c r="O32" i="2"/>
  <c r="C21" i="3"/>
  <c r="O21" i="3" s="1"/>
  <c r="O14" i="2"/>
  <c r="C9" i="3"/>
  <c r="O9" i="3" s="1"/>
  <c r="O23" i="2"/>
  <c r="C15" i="3"/>
  <c r="O15" i="3" s="1"/>
  <c r="O8" i="2"/>
  <c r="O15" i="2" s="1"/>
  <c r="C15" i="2"/>
  <c r="C6" i="3"/>
  <c r="O36" i="2"/>
  <c r="C23" i="3"/>
  <c r="O23" i="3" s="1"/>
  <c r="O25" i="2"/>
  <c r="C16" i="3"/>
  <c r="O16" i="3" s="1"/>
  <c r="O30" i="2"/>
  <c r="C37" i="2"/>
  <c r="C20" i="4" s="1"/>
  <c r="C20" i="3"/>
  <c r="O12" i="2"/>
  <c r="C8" i="3"/>
  <c r="O8" i="3" s="1"/>
  <c r="O34" i="2"/>
  <c r="C22" i="3"/>
  <c r="O22" i="3" s="1"/>
  <c r="M26" i="3"/>
  <c r="M7" i="5" s="1"/>
  <c r="K26" i="3"/>
  <c r="K7" i="5" s="1"/>
  <c r="I26" i="3"/>
  <c r="I7" i="5" s="1"/>
  <c r="G26" i="3"/>
  <c r="G7" i="5" s="1"/>
  <c r="F26" i="3"/>
  <c r="F7" i="5" s="1"/>
  <c r="E26" i="3"/>
  <c r="E7" i="5" s="1"/>
  <c r="N8" i="6" s="1"/>
  <c r="P8" i="6" s="1"/>
  <c r="N9" i="5" l="1"/>
  <c r="N12" i="5"/>
  <c r="N13" i="5" s="1"/>
  <c r="L9" i="5"/>
  <c r="L12" i="5"/>
  <c r="L13" i="5" s="1"/>
  <c r="J9" i="5"/>
  <c r="J12" i="5"/>
  <c r="J13" i="5" s="1"/>
  <c r="H9" i="5"/>
  <c r="H12" i="5"/>
  <c r="H13" i="5" s="1"/>
  <c r="N7" i="6"/>
  <c r="P7" i="6" s="1"/>
  <c r="E8" i="5"/>
  <c r="R12" i="6"/>
  <c r="Q12" i="6"/>
  <c r="H7" i="6"/>
  <c r="J7" i="6" s="1"/>
  <c r="D8" i="5"/>
  <c r="L12" i="6"/>
  <c r="K12" i="6"/>
  <c r="C15" i="4"/>
  <c r="O14" i="4"/>
  <c r="O15" i="4" s="1"/>
  <c r="O13" i="3"/>
  <c r="O17" i="3" s="1"/>
  <c r="C17" i="3"/>
  <c r="C39" i="2"/>
  <c r="C6" i="5" s="1"/>
  <c r="C8" i="4"/>
  <c r="O6" i="3"/>
  <c r="O10" i="3" s="1"/>
  <c r="C10" i="3"/>
  <c r="C26" i="3" s="1"/>
  <c r="C7" i="5" s="1"/>
  <c r="B8" i="6" s="1"/>
  <c r="C21" i="4"/>
  <c r="O20" i="4"/>
  <c r="O21" i="4" s="1"/>
  <c r="O20" i="3"/>
  <c r="O24" i="3" s="1"/>
  <c r="C24" i="3"/>
  <c r="Q8" i="6"/>
  <c r="R8" i="6"/>
  <c r="M8" i="5"/>
  <c r="O26" i="2"/>
  <c r="K8" i="5"/>
  <c r="I8" i="5"/>
  <c r="G8" i="5"/>
  <c r="F8" i="5"/>
  <c r="O37" i="2"/>
  <c r="R7" i="6" l="1"/>
  <c r="Q7" i="6"/>
  <c r="E9" i="5"/>
  <c r="N10" i="6" s="1"/>
  <c r="P10" i="6" s="1"/>
  <c r="E12" i="5"/>
  <c r="N9" i="6"/>
  <c r="P9" i="6" s="1"/>
  <c r="K7" i="6"/>
  <c r="H10" i="6"/>
  <c r="J10" i="6" s="1"/>
  <c r="D12" i="5"/>
  <c r="H9" i="6"/>
  <c r="J9" i="6" s="1"/>
  <c r="B7" i="6"/>
  <c r="C8" i="5"/>
  <c r="C9" i="4"/>
  <c r="C23" i="4" s="1"/>
  <c r="C11" i="5" s="1"/>
  <c r="B12" i="6" s="1"/>
  <c r="O8" i="4"/>
  <c r="O9" i="4" s="1"/>
  <c r="O23" i="4" s="1"/>
  <c r="O11" i="5" s="1"/>
  <c r="D8" i="6"/>
  <c r="T8" i="6"/>
  <c r="M12" i="5"/>
  <c r="M13" i="5" s="1"/>
  <c r="M9" i="5"/>
  <c r="K12" i="5"/>
  <c r="K13" i="5" s="1"/>
  <c r="K9" i="5"/>
  <c r="I12" i="5"/>
  <c r="I13" i="5" s="1"/>
  <c r="I9" i="5"/>
  <c r="G12" i="5"/>
  <c r="G13" i="5" s="1"/>
  <c r="G9" i="5"/>
  <c r="F12" i="5"/>
  <c r="F13" i="5" s="1"/>
  <c r="F9" i="5"/>
  <c r="O26" i="3"/>
  <c r="O7" i="5" s="1"/>
  <c r="O39" i="2"/>
  <c r="O6" i="5" s="1"/>
  <c r="O8" i="5" s="1"/>
  <c r="R10" i="6" l="1"/>
  <c r="Q10" i="6"/>
  <c r="E13" i="5"/>
  <c r="N14" i="6" s="1"/>
  <c r="P14" i="6" s="1"/>
  <c r="N13" i="6"/>
  <c r="P13" i="6" s="1"/>
  <c r="R9" i="6"/>
  <c r="Q9" i="6"/>
  <c r="L10" i="6"/>
  <c r="K10" i="6"/>
  <c r="H14" i="6"/>
  <c r="J14" i="6" s="1"/>
  <c r="H13" i="6"/>
  <c r="J13" i="6" s="1"/>
  <c r="L9" i="6"/>
  <c r="K9" i="6"/>
  <c r="D7" i="6"/>
  <c r="T7" i="6"/>
  <c r="C9" i="5"/>
  <c r="B10" i="6" s="1"/>
  <c r="C12" i="5"/>
  <c r="B9" i="6"/>
  <c r="D12" i="6"/>
  <c r="T12" i="6"/>
  <c r="V8" i="6"/>
  <c r="F8" i="6"/>
  <c r="E8" i="6"/>
  <c r="O9" i="5"/>
  <c r="O12" i="5"/>
  <c r="O13" i="5" s="1"/>
  <c r="R14" i="6" l="1"/>
  <c r="Q14" i="6"/>
  <c r="R13" i="6"/>
  <c r="Q13" i="6"/>
  <c r="L14" i="6"/>
  <c r="K14" i="6"/>
  <c r="L13" i="6"/>
  <c r="K13" i="6"/>
  <c r="V7" i="6"/>
  <c r="F7" i="6"/>
  <c r="E7" i="6"/>
  <c r="D10" i="6"/>
  <c r="C13" i="5"/>
  <c r="B14" i="6" s="1"/>
  <c r="B13" i="6"/>
  <c r="D9" i="6"/>
  <c r="T9" i="6"/>
  <c r="V12" i="6"/>
  <c r="F12" i="6"/>
  <c r="E12" i="6"/>
  <c r="W8" i="6"/>
  <c r="X8" i="6"/>
  <c r="W7" i="6" l="1"/>
  <c r="X7" i="6"/>
  <c r="F10" i="6"/>
  <c r="E10" i="6"/>
  <c r="D14" i="6"/>
  <c r="D13" i="6"/>
  <c r="T13" i="6"/>
  <c r="F9" i="6"/>
  <c r="E9" i="6"/>
  <c r="W12" i="6"/>
  <c r="X12" i="6"/>
  <c r="W10" i="6" l="1"/>
  <c r="F14" i="6"/>
  <c r="E14" i="6"/>
  <c r="V13" i="6"/>
  <c r="F13" i="6"/>
  <c r="E13" i="6"/>
  <c r="W9" i="6"/>
  <c r="X9" i="6"/>
  <c r="W14" i="6" l="1"/>
  <c r="W13" i="6"/>
</calcChain>
</file>

<file path=xl/sharedStrings.xml><?xml version="1.0" encoding="utf-8"?>
<sst xmlns="http://schemas.openxmlformats.org/spreadsheetml/2006/main" count="390" uniqueCount="201">
  <si>
    <t>ZARA &amp; CO. — VARIANCE ANALYSIS FY2025</t>
  </si>
  <si>
    <t>Actual vs Budget — Q1 YTD. $ Var = Actual − Budget. Fav/Unfav: revenue &amp; profit lines Fav if positive; cost lines Fav if negative.</t>
  </si>
  <si>
    <t>Colour key:</t>
  </si>
  <si>
    <t xml:space="preserve">  Budget  </t>
  </si>
  <si>
    <t xml:space="preserve">  Actual  </t>
  </si>
  <si>
    <t xml:space="preserve">  Fav (green) / Unfav (red) — conditional formatting applied by Ashnad  </t>
  </si>
  <si>
    <t>January</t>
  </si>
  <si>
    <t>February</t>
  </si>
  <si>
    <t>March</t>
  </si>
  <si>
    <t>Q1 Total</t>
  </si>
  <si>
    <t>Budget</t>
  </si>
  <si>
    <t>Actual</t>
  </si>
  <si>
    <t>$ Variance</t>
  </si>
  <si>
    <t>Fav/Unfav</t>
  </si>
  <si>
    <t>% Variance</t>
  </si>
  <si>
    <t>Revenue</t>
  </si>
  <si>
    <t>Less: COGS</t>
  </si>
  <si>
    <t>Gross Profit</t>
  </si>
  <si>
    <t>Gross Margin %</t>
  </si>
  <si>
    <t>Less: OpEx</t>
  </si>
  <si>
    <t>EBITDA</t>
  </si>
  <si>
    <t>EBITDA Margin %</t>
  </si>
  <si>
    <t>MANAGEMENT COMMENTARY — Q1 FY2025</t>
  </si>
  <si>
    <t>2 paragraphs: (1) Revenue &amp; Gross Profit drivers  (2) OpEx &amp; EBITDA drivers. Name specific months and AED amounts.</t>
  </si>
  <si>
    <t xml:space="preserve">Paragraph 1 — Revenue &amp; Gross Profit:  
Revenue came in at AED 1.90M against a January budget of AED 1.98M, a shortfall of AED 78K (-3.9%). Performance recovered through the quarter — February missed by AED 24K (-1.2%) and March delivered a small beat of AED 20K (+0.9%), supported by Ramadan uplift. COGS came in AED 29K below budget in January as lower volumes reduced input costs, but gross profit still missed by AED 49K as the revenue shortfall was not fully offset. </t>
  </si>
  <si>
    <t>Paragraph 2 — OpEx &amp; EBITDA:
EBITDA fell short by AED 91K (-10.1%) for the quarter, driven by two factors: a cumulative gross profit miss of AED 229K and an OpEx overspend of AED 70K (+3.4%). Marketing costs ran above plan in all three months, with March showing the largest deviation at AED 43K above budget. The combined effect compressed EBITDA margin by approximately 4.5 percentage points versus budget.</t>
  </si>
  <si>
    <t>ZARA &amp; CO. — FP&amp;A MODEL FY2025</t>
  </si>
  <si>
    <t>Assumptions Tab — All inputs live here. Never hardcode numbers in other tabs.</t>
  </si>
  <si>
    <t xml:space="preserve">  Blue = Hardcoded input  </t>
  </si>
  <si>
    <t xml:space="preserve">  Green = Formula  </t>
  </si>
  <si>
    <t>(Black = formula in other tabs)</t>
  </si>
  <si>
    <t>A. MODEL PARAMETERS</t>
  </si>
  <si>
    <t>Fiscal Year</t>
  </si>
  <si>
    <t>Currency</t>
  </si>
  <si>
    <t>AED</t>
  </si>
  <si>
    <t>Company Name</t>
  </si>
  <si>
    <t>Zara &amp; Co.</t>
  </si>
  <si>
    <t>B. OUTLETS &amp; PRODUCT CATEGORIES</t>
  </si>
  <si>
    <t>Outlet 1</t>
  </si>
  <si>
    <t>Dubai Mall</t>
  </si>
  <si>
    <t>Category 1</t>
  </si>
  <si>
    <t>Women's Wear</t>
  </si>
  <si>
    <t>Outlet 2</t>
  </si>
  <si>
    <t>Marina Mall</t>
  </si>
  <si>
    <t>Category 2</t>
  </si>
  <si>
    <t>Men's Wear</t>
  </si>
  <si>
    <t>Outlet 3</t>
  </si>
  <si>
    <t>Online</t>
  </si>
  <si>
    <t>Category 3</t>
  </si>
  <si>
    <t>Kids' Wear</t>
  </si>
  <si>
    <t>Category 4</t>
  </si>
  <si>
    <t>Accessories</t>
  </si>
  <si>
    <t>C. SEASONALITY MULTIPLIERS  (1.00 = base month)</t>
  </si>
  <si>
    <t>Month</t>
  </si>
  <si>
    <t>Multiplier</t>
  </si>
  <si>
    <t>Note</t>
  </si>
  <si>
    <t>Post-holiday shopping</t>
  </si>
  <si>
    <t>Ramadan — higher footfall &amp; gifting</t>
  </si>
  <si>
    <t>April</t>
  </si>
  <si>
    <t>Post-Ramadan dip</t>
  </si>
  <si>
    <t>May</t>
  </si>
  <si>
    <t>June</t>
  </si>
  <si>
    <t>Summer begins</t>
  </si>
  <si>
    <t>July</t>
  </si>
  <si>
    <t>Peak summer — expat travel</t>
  </si>
  <si>
    <t>August</t>
  </si>
  <si>
    <t>Summer</t>
  </si>
  <si>
    <t>September</t>
  </si>
  <si>
    <t>Back to school / work</t>
  </si>
  <si>
    <t>October</t>
  </si>
  <si>
    <t>November</t>
  </si>
  <si>
    <t>White Friday / pre-holiday</t>
  </si>
  <si>
    <t>December</t>
  </si>
  <si>
    <t>Holiday season + NYE</t>
  </si>
  <si>
    <t>Sum check (should ≈ 12)</t>
  </si>
  <si>
    <t>D. BASE MONTHLY UNITS  (per outlet, per category — before seasonality)</t>
  </si>
  <si>
    <t>Category</t>
  </si>
  <si>
    <t>E. AVERAGE SELLING PRICE (AED)</t>
  </si>
  <si>
    <t>ASP (AED)</t>
  </si>
  <si>
    <t>Premium positioning — Dubai Mall mix weighted</t>
  </si>
  <si>
    <t>Impulse-buy category — lower ASP, high volume</t>
  </si>
  <si>
    <t>F. COGS % BY CATEGORY  (Week 4 — fill in when building COGS tab)</t>
  </si>
  <si>
    <t>COGS %</t>
  </si>
  <si>
    <t>G. OPEX ASSUMPTIONS (Monthly AED)  (Week 4)</t>
  </si>
  <si>
    <t>Item</t>
  </si>
  <si>
    <t>Rent (AED/month)</t>
  </si>
  <si>
    <t>Base Payroll (AED/month)</t>
  </si>
  <si>
    <t>Marketing % of Revenue</t>
  </si>
  <si>
    <t>ZARA &amp; CO. — REVENUE BUILD FY2025</t>
  </si>
  <si>
    <t>Formulas only — all inputs linked from Assumptions tab. Nothing hardcoded here.</t>
  </si>
  <si>
    <t>Outlet / Category</t>
  </si>
  <si>
    <t>Metric</t>
  </si>
  <si>
    <t>Jan</t>
  </si>
  <si>
    <t>Feb</t>
  </si>
  <si>
    <t>Mar</t>
  </si>
  <si>
    <t>Apr</t>
  </si>
  <si>
    <t>Jun</t>
  </si>
  <si>
    <t>Jul</t>
  </si>
  <si>
    <t>Aug</t>
  </si>
  <si>
    <t>Sep</t>
  </si>
  <si>
    <t>Oct</t>
  </si>
  <si>
    <t>Nov</t>
  </si>
  <si>
    <t>Dec</t>
  </si>
  <si>
    <t>TOTAL</t>
  </si>
  <si>
    <t>Seasonality</t>
  </si>
  <si>
    <t>Units</t>
  </si>
  <si>
    <t>Revenue (AED)</t>
  </si>
  <si>
    <t>Dubai Mall — Total Revenue</t>
  </si>
  <si>
    <t>Marina Mall — Total Revenue</t>
  </si>
  <si>
    <t>Online — Total Revenue</t>
  </si>
  <si>
    <t>TOTAL REVENUE — ALL OUTLETS</t>
  </si>
  <si>
    <t>ZARA &amp; CO. — COGS BUILD FY2025</t>
  </si>
  <si>
    <t>Formulas only — COGS% pulled from Assumptions, amounts = Revenue × COGS%.</t>
  </si>
  <si>
    <t>Dubai Mall — Total COGS</t>
  </si>
  <si>
    <t>Marina Mall — Total COGS</t>
  </si>
  <si>
    <t>Online — Total COGS</t>
  </si>
  <si>
    <t>TOTAL COGS — ALL OUTLETS</t>
  </si>
  <si>
    <t>ZARA &amp; CO. — OPEX DETAIL FY2025</t>
  </si>
  <si>
    <t>Formulas only — fixed costs from Assumptions, marketing linked to Revenue Build.</t>
  </si>
  <si>
    <t>Rent</t>
  </si>
  <si>
    <t>Payroll</t>
  </si>
  <si>
    <t>Marketing</t>
  </si>
  <si>
    <t>Dubai Mall — Total OpEx</t>
  </si>
  <si>
    <t>Marina Mall — Total OpEx</t>
  </si>
  <si>
    <t>Online — Total OpEx</t>
  </si>
  <si>
    <t>TOTAL OPEX — ALL OUTLETS</t>
  </si>
  <si>
    <t>ZARA &amp; CO. — P&amp;L SUMMARY FY2025</t>
  </si>
  <si>
    <t>Budget linked from Revenue Build / COGS Build / OpEx Detail. Actuals hardcoded.</t>
  </si>
  <si>
    <t xml:space="preserve">  FY2024 Prior Year  </t>
  </si>
  <si>
    <t xml:space="preserve">  Budget (formula)  </t>
  </si>
  <si>
    <t xml:space="preserve">  Actual (hardcoded)  </t>
  </si>
  <si>
    <t>Line Item</t>
  </si>
  <si>
    <t>FY2024 Actual</t>
  </si>
  <si>
    <t>Jan Budget</t>
  </si>
  <si>
    <t>Feb Budget</t>
  </si>
  <si>
    <t>Mar Budget</t>
  </si>
  <si>
    <t>Apr Budget</t>
  </si>
  <si>
    <t>May Budget</t>
  </si>
  <si>
    <t>Jun Budget</t>
  </si>
  <si>
    <t>Jul Budget</t>
  </si>
  <si>
    <t>Aug Budget</t>
  </si>
  <si>
    <t>Sep Budget</t>
  </si>
  <si>
    <t>Oct Budget</t>
  </si>
  <si>
    <t>Nov Budget</t>
  </si>
  <si>
    <t>Dec Budget</t>
  </si>
  <si>
    <t>FY2025 Budget</t>
  </si>
  <si>
    <t>Jan Actual</t>
  </si>
  <si>
    <t>Feb Actual</t>
  </si>
  <si>
    <t>Mar Actual</t>
  </si>
  <si>
    <t>ZARA &amp; CO. — ROLLING FORECAST FY2025</t>
  </si>
  <si>
    <t>Q1 actuals locked (Jan-Mar hardcoded). Apr-Dec = link from Revenue Build / COGS Build / OpEx Detail. FY Total = SUM of all 12 months. GP, EBITDA, margins = derived formulas.</t>
  </si>
  <si>
    <t xml:space="preserve">  Actual — locked  </t>
  </si>
  <si>
    <t xml:space="preserve">  Forecast (formula)  </t>
  </si>
  <si>
    <t xml:space="preserve">  FY Total  </t>
  </si>
  <si>
    <t>Apr Fcst</t>
  </si>
  <si>
    <t>May Fcst</t>
  </si>
  <si>
    <t>Jun Fcst</t>
  </si>
  <si>
    <t>Jul Fcst</t>
  </si>
  <si>
    <t>Aug Fcst</t>
  </si>
  <si>
    <t>Sep Fcst</t>
  </si>
  <si>
    <t>Oct Fcst</t>
  </si>
  <si>
    <t>Nov Fcst</t>
  </si>
  <si>
    <t>Dec Fcst</t>
  </si>
  <si>
    <t>FY2025 Total</t>
  </si>
  <si>
    <t>Apr-Dec: link from Revenue Build row 39 / COGS Build row 26 / OpEx Detail row 23  |  Col N: =SUM(B7:M7) for each row</t>
  </si>
  <si>
    <t>ZARA &amp; CO. — SCENARIO ANALYSIS FY2025</t>
  </si>
  <si>
    <t>Base = budget assumptions linked from model. Bull = optimistic inputs. Bear = conservative inputs. P&amp;L output in Section 2 recalculates automatically when you change Section 1 inputs.</t>
  </si>
  <si>
    <t>SECTION 1 — ASSUMPTIONS</t>
  </si>
  <si>
    <t>Assumption</t>
  </si>
  <si>
    <t>Base Case</t>
  </si>
  <si>
    <t>Bull Case</t>
  </si>
  <si>
    <t>Bear Case</t>
  </si>
  <si>
    <t>Full-Year Revenue (AED)</t>
  </si>
  <si>
    <t>Link from P&amp;L Summary col O, row 6</t>
  </si>
  <si>
    <t>Revenue Growth % vs Budget</t>
  </si>
  <si>
    <t>Base = 0%. Bull/Bear: type the growth adjustment.</t>
  </si>
  <si>
    <t>Blended COGS % of Revenue</t>
  </si>
  <si>
    <t>Base: derive from model. Bull = lower %, Bear = higher %.</t>
  </si>
  <si>
    <t>Full-Year OpEx (AED)</t>
  </si>
  <si>
    <t>Link from P&amp;L Summary col O, row 11</t>
  </si>
  <si>
    <t>OpEx Growth % vs Budget</t>
  </si>
  <si>
    <t>Base = 0%. Bull = cost savings. Bear = overspend.</t>
  </si>
  <si>
    <t>SECTION 2 — P&amp;L OUTPUT (formula-driven from Section 1)</t>
  </si>
  <si>
    <t>Bull vs Base ($)</t>
  </si>
  <si>
    <t>Bear vs Base ($)</t>
  </si>
  <si>
    <t>ZARA &amp; CO. — EXECUTIVE DASHBOARD FY2025</t>
  </si>
  <si>
    <t>All cells are formulas — links from P&amp;L Summary (budget), Variance Analysis (Q1 actuals), Rolling Forecast (FY).</t>
  </si>
  <si>
    <t>SECTION 1 — Q1 KEY METRICS</t>
  </si>
  <si>
    <t>Q1 Revenue — Actual</t>
  </si>
  <si>
    <t>Q1 EBITDA — Actual</t>
  </si>
  <si>
    <t>Q1 Gross Margin %</t>
  </si>
  <si>
    <t>Q1 EBITDA Margin %</t>
  </si>
  <si>
    <t>Source: ='Variance Analysis'!U7</t>
  </si>
  <si>
    <t>Source: ='Variance Analysis'!U13</t>
  </si>
  <si>
    <t>Source: ='Variance Analysis'!U10</t>
  </si>
  <si>
    <t>Source: ='Variance Analysis'!U14</t>
  </si>
  <si>
    <t>SECTION 2 — Q1 SCORECARD (Actual vs Budget)</t>
  </si>
  <si>
    <t>Q1 Budget</t>
  </si>
  <si>
    <t>Q1 Actual</t>
  </si>
  <si>
    <t>SECTION 3 — FULL YEAR OUTLOOK (Budget vs Rolling Forecast)</t>
  </si>
  <si>
    <t>Rolling Forecast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</si>
</sst>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3" x14ac:knownFonts="1">
    <font>
      <sz val="11"/>
      <color theme="1"/>
      <name val="Calibri"/>
      <family val="2"/>
      <scheme val="minor"/>
    </font>
    <font>
      <b/>
      <sz val="14"/>
      <color rgb="FFFFFFFF"/>
      <name val="Calibri"/>
      <family val="2"/>
    </font>
    <font>
      <i/>
      <sz val="9"/>
      <color rgb="FFFFFFFF"/>
      <name val="Calibri"/>
      <family val="2"/>
    </font>
    <font>
      <b/>
      <sz val="9"/>
      <color rgb="FF1F3864"/>
      <name val="Calibri"/>
      <family val="2"/>
    </font>
    <font>
      <sz val="9"/>
      <color rgb="FF1F497D"/>
      <name val="Calibri"/>
      <family val="2"/>
    </font>
    <font>
      <sz val="9"/>
      <color rgb="FF375623"/>
      <name val="Calibri"/>
      <family val="2"/>
    </font>
    <font>
      <i/>
      <sz val="9"/>
      <color rgb="FF7F7F7F"/>
      <name val="Calibri"/>
      <family val="2"/>
    </font>
    <font>
      <b/>
      <sz val="9"/>
      <color rgb="FFFFFFFF"/>
      <name val="Calibri"/>
      <family val="2"/>
    </font>
    <font>
      <sz val="10"/>
      <color rgb="FF404040"/>
      <name val="Calibri"/>
      <family val="2"/>
    </font>
    <font>
      <sz val="10"/>
      <color rgb="FF1F497D"/>
      <name val="Calibri"/>
      <family val="2"/>
    </font>
    <font>
      <sz val="10"/>
      <color rgb="FF375623"/>
      <name val="Calibri"/>
      <family val="2"/>
    </font>
    <font>
      <b/>
      <sz val="13"/>
      <color rgb="FFFFFFFF"/>
      <name val="Calibri"/>
      <family val="2"/>
    </font>
    <font>
      <b/>
      <sz val="10"/>
      <color rgb="FF1F3864"/>
      <name val="Calibri"/>
      <family val="2"/>
    </font>
    <font>
      <sz val="9"/>
      <color rgb="FF606060"/>
      <name val="Calibri"/>
      <family val="2"/>
    </font>
    <font>
      <b/>
      <sz val="10"/>
      <color rgb="FF375623"/>
      <name val="Calibri"/>
      <family val="2"/>
    </font>
    <font>
      <b/>
      <sz val="10"/>
      <color rgb="FFFFFFFF"/>
      <name val="Calibri"/>
      <family val="2"/>
    </font>
    <font>
      <sz val="10"/>
      <color rgb="FF1F497D"/>
      <name val="Calibri"/>
      <family val="2"/>
    </font>
    <font>
      <b/>
      <sz val="13"/>
      <color rgb="FFFFFFFF"/>
      <name val="Calibri"/>
      <family val="2"/>
    </font>
    <font>
      <i/>
      <sz val="9"/>
      <color rgb="FFFFFFFF"/>
      <name val="Calibri"/>
      <family val="2"/>
    </font>
    <font>
      <b/>
      <sz val="9"/>
      <color rgb="FF1F3864"/>
      <name val="Calibri"/>
      <family val="2"/>
    </font>
    <font>
      <b/>
      <sz val="10"/>
      <color rgb="FF1F3864"/>
      <name val="Calibri"/>
      <family val="2"/>
    </font>
    <font>
      <sz val="10"/>
      <color rgb="FF404040"/>
      <name val="Calibri"/>
      <family val="2"/>
    </font>
    <font>
      <sz val="10"/>
      <color rgb="FF375623"/>
      <name val="Calibri"/>
      <family val="2"/>
    </font>
    <font>
      <b/>
      <sz val="10"/>
      <color rgb="FF375623"/>
      <name val="Calibri"/>
      <family val="2"/>
    </font>
    <font>
      <sz val="10"/>
      <color rgb="FF000000"/>
      <name val="Calibri"/>
      <family val="2"/>
    </font>
    <font>
      <b/>
      <sz val="10"/>
      <color rgb="FF1F497D"/>
      <name val="Calibri"/>
      <family val="2"/>
    </font>
    <font>
      <b/>
      <sz val="10"/>
      <color rgb="FFFFFFFF"/>
      <name val="Calibri"/>
      <family val="2"/>
    </font>
    <font>
      <sz val="10"/>
      <color rgb="FF1F497D"/>
      <name val="Calibri"/>
      <family val="2"/>
    </font>
    <font>
      <b/>
      <sz val="13"/>
      <color rgb="FFFFFFFF"/>
      <name val="Calibri"/>
      <family val="2"/>
    </font>
    <font>
      <i/>
      <sz val="9"/>
      <color rgb="FFFFFFFF"/>
      <name val="Calibri"/>
      <family val="2"/>
    </font>
    <font>
      <b/>
      <sz val="9"/>
      <color rgb="FF1F3864"/>
      <name val="Calibri"/>
      <family val="2"/>
    </font>
    <font>
      <b/>
      <sz val="10"/>
      <color rgb="FF1F3864"/>
      <name val="Calibri"/>
      <family val="2"/>
    </font>
    <font>
      <sz val="10"/>
      <color rgb="FF404040"/>
      <name val="Calibri"/>
      <family val="2"/>
    </font>
    <font>
      <sz val="10"/>
      <color rgb="FF375623"/>
      <name val="Calibri"/>
      <family val="2"/>
    </font>
    <font>
      <b/>
      <sz val="10"/>
      <color rgb="FF375623"/>
      <name val="Calibri"/>
      <family val="2"/>
    </font>
    <font>
      <b/>
      <sz val="10"/>
      <color rgb="FF1F497D"/>
      <name val="Calibri"/>
      <family val="2"/>
    </font>
    <font>
      <b/>
      <sz val="10"/>
      <color rgb="FFFFFFFF"/>
      <name val="Calibri"/>
      <family val="2"/>
    </font>
    <font>
      <b/>
      <sz val="13"/>
      <color rgb="FFFFFFFF"/>
      <name val="Calibri"/>
      <family val="2"/>
    </font>
    <font>
      <i/>
      <sz val="9"/>
      <color rgb="FFFFFFFF"/>
      <name val="Calibri"/>
      <family val="2"/>
    </font>
    <font>
      <b/>
      <sz val="9"/>
      <color rgb="FF1F3864"/>
      <name val="Calibri"/>
      <family val="2"/>
    </font>
    <font>
      <sz val="9"/>
      <color rgb="FF1F497D"/>
      <name val="Calibri"/>
      <family val="2"/>
    </font>
    <font>
      <sz val="9"/>
      <color rgb="FF375623"/>
      <name val="Calibri"/>
      <family val="2"/>
    </font>
    <font>
      <sz val="9"/>
      <color rgb="FF7F6000"/>
      <name val="Calibri"/>
      <family val="2"/>
    </font>
    <font>
      <b/>
      <sz val="8"/>
      <color rgb="FF1F3864"/>
      <name val="Calibri"/>
      <family val="2"/>
    </font>
    <font>
      <b/>
      <sz val="9"/>
      <color rgb="FFFFFFFF"/>
      <name val="Calibri"/>
      <family val="2"/>
    </font>
    <font>
      <b/>
      <sz val="9"/>
      <color rgb="FF7F6000"/>
      <name val="Calibri"/>
      <family val="2"/>
    </font>
    <font>
      <b/>
      <sz val="10"/>
      <color rgb="FF404040"/>
      <name val="Calibri"/>
      <family val="2"/>
    </font>
    <font>
      <b/>
      <sz val="10"/>
      <color rgb="FF1F497D"/>
      <name val="Calibri"/>
      <family val="2"/>
    </font>
    <font>
      <b/>
      <sz val="10"/>
      <color rgb="FF375623"/>
      <name val="Calibri"/>
      <family val="2"/>
    </font>
    <font>
      <b/>
      <sz val="10"/>
      <color rgb="FFFFFFFF"/>
      <name val="Calibri"/>
      <family val="2"/>
    </font>
    <font>
      <b/>
      <sz val="10"/>
      <color rgb="FF7F6000"/>
      <name val="Calibri"/>
      <family val="2"/>
    </font>
    <font>
      <sz val="10"/>
      <color rgb="FF404040"/>
      <name val="Calibri"/>
      <family val="2"/>
    </font>
    <font>
      <sz val="10"/>
      <color rgb="FF1F497D"/>
      <name val="Calibri"/>
      <family val="2"/>
    </font>
    <font>
      <sz val="10"/>
      <color rgb="FF375623"/>
      <name val="Calibri"/>
      <family val="2"/>
    </font>
    <font>
      <sz val="10"/>
      <color rgb="FF7F6000"/>
      <name val="Calibri"/>
      <family val="2"/>
    </font>
    <font>
      <b/>
      <sz val="10"/>
      <color rgb="FF1F3864"/>
      <name val="Calibri"/>
      <family val="2"/>
    </font>
    <font>
      <b/>
      <sz val="13"/>
      <color rgb="FFFFFFFF"/>
      <name val="Calibri"/>
      <family val="2"/>
    </font>
    <font>
      <i/>
      <sz val="9"/>
      <color rgb="FFFFFFFF"/>
      <name val="Calibri"/>
      <family val="2"/>
    </font>
    <font>
      <b/>
      <sz val="9"/>
      <color rgb="FF1F3864"/>
      <name val="Calibri"/>
      <family val="2"/>
    </font>
    <font>
      <sz val="9"/>
      <color rgb="FF1F497D"/>
      <name val="Calibri"/>
      <family val="2"/>
    </font>
    <font>
      <sz val="9"/>
      <color rgb="FF7F6000"/>
      <name val="Calibri"/>
      <family val="2"/>
    </font>
    <font>
      <sz val="9"/>
      <color rgb="FF375623"/>
      <name val="Calibri"/>
      <family val="2"/>
    </font>
    <font>
      <b/>
      <sz val="10"/>
      <color rgb="FFFFFFFF"/>
      <name val="Calibri"/>
      <family val="2"/>
    </font>
    <font>
      <b/>
      <sz val="8"/>
      <color rgb="FF1F497D"/>
      <name val="Calibri"/>
      <family val="2"/>
    </font>
    <font>
      <b/>
      <sz val="8"/>
      <color rgb="FF7F6000"/>
      <name val="Calibri"/>
      <family val="2"/>
    </font>
    <font>
      <b/>
      <sz val="8"/>
      <color rgb="FF375623"/>
      <name val="Calibri"/>
      <family val="2"/>
    </font>
    <font>
      <b/>
      <sz val="8"/>
      <color rgb="FFFFFFFF"/>
      <name val="Calibri"/>
      <family val="2"/>
    </font>
    <font>
      <b/>
      <sz val="10"/>
      <color rgb="FF404040"/>
      <name val="Calibri"/>
      <family val="2"/>
    </font>
    <font>
      <sz val="10"/>
      <color rgb="FF404040"/>
      <name val="Calibri"/>
      <family val="2"/>
    </font>
    <font>
      <sz val="10"/>
      <color rgb="FF1F497D"/>
      <name val="Calibri"/>
      <family val="2"/>
    </font>
    <font>
      <sz val="10"/>
      <color rgb="FF7F6000"/>
      <name val="Calibri"/>
      <family val="2"/>
    </font>
    <font>
      <sz val="10"/>
      <color rgb="FF375623"/>
      <name val="Calibri"/>
      <family val="2"/>
    </font>
    <font>
      <b/>
      <sz val="10"/>
      <color rgb="FF1F3864"/>
      <name val="Calibri"/>
      <family val="2"/>
    </font>
    <font>
      <sz val="10"/>
      <color rgb="FFFFFFFF"/>
      <name val="Calibri"/>
      <family val="2"/>
    </font>
    <font>
      <b/>
      <sz val="13"/>
      <color rgb="FFFFFFFF"/>
      <name val="Calibri"/>
      <family val="2"/>
    </font>
    <font>
      <i/>
      <sz val="9"/>
      <color rgb="FFFFFFFF"/>
      <name val="Calibri"/>
      <family val="2"/>
    </font>
    <font>
      <b/>
      <sz val="9"/>
      <color rgb="FF1F3864"/>
      <name val="Calibri"/>
      <family val="2"/>
    </font>
    <font>
      <sz val="9"/>
      <color rgb="FF7F6000"/>
      <name val="Calibri"/>
      <family val="2"/>
    </font>
    <font>
      <sz val="9"/>
      <color rgb="FF375623"/>
      <name val="Calibri"/>
      <family val="2"/>
    </font>
    <font>
      <sz val="9"/>
      <color rgb="FFFFFFFF"/>
      <name val="Calibri"/>
      <family val="2"/>
    </font>
    <font>
      <b/>
      <sz val="8"/>
      <color rgb="FF7F6000"/>
      <name val="Calibri"/>
      <family val="2"/>
    </font>
    <font>
      <b/>
      <sz val="8"/>
      <color rgb="FF1F3864"/>
      <name val="Calibri"/>
      <family val="2"/>
    </font>
    <font>
      <b/>
      <sz val="9"/>
      <color rgb="FFFFFFFF"/>
      <name val="Calibri"/>
      <family val="2"/>
    </font>
    <font>
      <i/>
      <sz val="8"/>
      <color rgb="FF7F7F7F"/>
      <name val="Calibri"/>
      <family val="2"/>
    </font>
    <font>
      <b/>
      <sz val="10"/>
      <color rgb="FF404040"/>
      <name val="Calibri"/>
      <family val="2"/>
    </font>
    <font>
      <b/>
      <sz val="10"/>
      <color rgb="FF7F6000"/>
      <name val="Calibri"/>
      <family val="2"/>
    </font>
    <font>
      <b/>
      <sz val="10"/>
      <color rgb="FF375623"/>
      <name val="Calibri"/>
      <family val="2"/>
    </font>
    <font>
      <b/>
      <sz val="10"/>
      <color rgb="FFFFFFFF"/>
      <name val="Calibri"/>
      <family val="2"/>
    </font>
    <font>
      <sz val="10"/>
      <color rgb="FF404040"/>
      <name val="Calibri"/>
      <family val="2"/>
    </font>
    <font>
      <sz val="10"/>
      <color rgb="FF7F6000"/>
      <name val="Calibri"/>
      <family val="2"/>
    </font>
    <font>
      <sz val="10"/>
      <color rgb="FF375623"/>
      <name val="Calibri"/>
      <family val="2"/>
    </font>
    <font>
      <b/>
      <sz val="10"/>
      <color rgb="FF1F3864"/>
      <name val="Calibri"/>
      <family val="2"/>
    </font>
    <font>
      <b/>
      <sz val="9"/>
      <color rgb="FF1F497D"/>
      <name val="Calibri"/>
      <family val="2"/>
    </font>
    <font>
      <b/>
      <sz val="9"/>
      <color rgb="FF375623"/>
      <name val="Calibri"/>
      <family val="2"/>
    </font>
    <font>
      <b/>
      <sz val="9"/>
      <color rgb="FF9C0006"/>
      <name val="Calibri"/>
      <family val="2"/>
    </font>
    <font>
      <sz val="10"/>
      <color rgb="FF1F497D"/>
      <name val="Calibri"/>
      <family val="2"/>
    </font>
    <font>
      <sz val="10"/>
      <color rgb="FF9C0006"/>
      <name val="Calibri"/>
      <family val="2"/>
    </font>
    <font>
      <b/>
      <sz val="10"/>
      <color rgb="FF1F497D"/>
      <name val="Calibri"/>
      <family val="2"/>
    </font>
    <font>
      <b/>
      <sz val="10"/>
      <color rgb="FF9C0006"/>
      <name val="Calibri"/>
      <family val="2"/>
    </font>
    <font>
      <b/>
      <sz val="8"/>
      <color rgb="FFFFFFFF"/>
      <name val="Calibri"/>
      <family val="2"/>
    </font>
    <font>
      <b/>
      <sz val="14"/>
      <color rgb="FF375623"/>
      <name val="Calibri"/>
      <family val="2"/>
    </font>
    <font>
      <i/>
      <sz val="7"/>
      <color rgb="FFFFFFFF"/>
      <name val="Calibri"/>
      <family val="2"/>
    </font>
    <font>
      <b/>
      <sz val="9"/>
      <color rgb="FF7F6000"/>
      <name val="Calibri"/>
      <family val="2"/>
    </font>
  </fonts>
  <fills count="45">
    <fill>
      <patternFill patternType="none"/>
    </fill>
    <fill>
      <patternFill patternType="gray125"/>
    </fill>
    <fill>
      <patternFill patternType="solid">
        <fgColor rgb="FF1F3864"/>
        <bgColor rgb="FF1F3864"/>
      </patternFill>
    </fill>
    <fill>
      <patternFill patternType="solid">
        <fgColor rgb="FF2E75B6"/>
        <bgColor rgb="FF2E75B6"/>
      </patternFill>
    </fill>
    <fill>
      <patternFill patternType="solid">
        <fgColor rgb="FFDCE6F1"/>
        <bgColor rgb="FFDCE6F1"/>
      </patternFill>
    </fill>
    <fill>
      <patternFill patternType="solid">
        <fgColor rgb="FFE2EFDA"/>
        <bgColor rgb="FFE2EFDA"/>
      </patternFill>
    </fill>
    <fill>
      <patternFill patternType="solid">
        <fgColor rgb="FFF2F2F2"/>
        <bgColor rgb="FFF2F2F2"/>
      </patternFill>
    </fill>
    <fill>
      <patternFill patternType="solid">
        <fgColor rgb="FFD6E4F0"/>
        <bgColor rgb="FFD6E4F0"/>
      </patternFill>
    </fill>
    <fill>
      <patternFill patternType="solid">
        <fgColor rgb="FFDCE6F1"/>
        <bgColor rgb="FFDCE6F1"/>
      </patternFill>
    </fill>
    <fill>
      <patternFill patternType="solid">
        <fgColor rgb="FF1F3864"/>
        <bgColor rgb="FF1F3864"/>
      </patternFill>
    </fill>
    <fill>
      <patternFill patternType="solid">
        <fgColor rgb="FF2E75B6"/>
        <bgColor rgb="FF2E75B6"/>
      </patternFill>
    </fill>
    <fill>
      <patternFill patternType="solid">
        <fgColor rgb="FFD6E4F0"/>
        <bgColor rgb="FFD6E4F0"/>
      </patternFill>
    </fill>
    <fill>
      <patternFill patternType="solid">
        <fgColor rgb="FFF2F2F2"/>
        <bgColor rgb="FFF2F2F2"/>
      </patternFill>
    </fill>
    <fill>
      <patternFill patternType="solid">
        <fgColor rgb="FFE2EFDA"/>
        <bgColor rgb="FFE2EFDA"/>
      </patternFill>
    </fill>
    <fill>
      <patternFill patternType="solid">
        <fgColor rgb="FFDCE6F1"/>
        <bgColor rgb="FFDCE6F1"/>
      </patternFill>
    </fill>
    <fill>
      <patternFill patternType="solid">
        <fgColor rgb="FF1F3864"/>
        <bgColor rgb="FF1F3864"/>
      </patternFill>
    </fill>
    <fill>
      <patternFill patternType="solid">
        <fgColor rgb="FF2E75B6"/>
        <bgColor rgb="FF2E75B6"/>
      </patternFill>
    </fill>
    <fill>
      <patternFill patternType="solid">
        <fgColor rgb="FFD6E4F0"/>
        <bgColor rgb="FFD6E4F0"/>
      </patternFill>
    </fill>
    <fill>
      <patternFill patternType="solid">
        <fgColor rgb="FFF2F2F2"/>
        <bgColor rgb="FFF2F2F2"/>
      </patternFill>
    </fill>
    <fill>
      <patternFill patternType="solid">
        <fgColor rgb="FFE2EFDA"/>
        <bgColor rgb="FFE2EFDA"/>
      </patternFill>
    </fill>
    <fill>
      <patternFill patternType="solid">
        <fgColor rgb="FF1F3864"/>
        <bgColor rgb="FF1F3864"/>
      </patternFill>
    </fill>
    <fill>
      <patternFill patternType="solid">
        <fgColor rgb="FF2E75B6"/>
        <bgColor rgb="FF2E75B6"/>
      </patternFill>
    </fill>
    <fill>
      <patternFill patternType="solid">
        <fgColor rgb="FFDCE6F1"/>
        <bgColor rgb="FFDCE6F1"/>
      </patternFill>
    </fill>
    <fill>
      <patternFill patternType="solid">
        <fgColor rgb="FFE2EFDA"/>
        <bgColor rgb="FFE2EFDA"/>
      </patternFill>
    </fill>
    <fill>
      <patternFill patternType="solid">
        <fgColor rgb="FFFFF2CC"/>
        <bgColor rgb="FFFFF2CC"/>
      </patternFill>
    </fill>
    <fill>
      <patternFill patternType="solid">
        <fgColor rgb="FFD6E4F0"/>
        <bgColor rgb="FFD6E4F0"/>
      </patternFill>
    </fill>
    <fill>
      <patternFill patternType="solid">
        <fgColor rgb="FF203864"/>
        <bgColor rgb="FF203864"/>
      </patternFill>
    </fill>
    <fill>
      <patternFill patternType="solid">
        <fgColor rgb="FFF2F2F2"/>
        <bgColor rgb="FFF2F2F2"/>
      </patternFill>
    </fill>
    <fill>
      <patternFill patternType="solid">
        <fgColor rgb="FF1F3864"/>
        <bgColor rgb="FF1F3864"/>
      </patternFill>
    </fill>
    <fill>
      <patternFill patternType="solid">
        <fgColor rgb="FF2E75B6"/>
        <bgColor rgb="FF2E75B6"/>
      </patternFill>
    </fill>
    <fill>
      <patternFill patternType="solid">
        <fgColor rgb="FFDCE6F1"/>
        <bgColor rgb="FFDCE6F1"/>
      </patternFill>
    </fill>
    <fill>
      <patternFill patternType="solid">
        <fgColor rgb="FFFFF2CC"/>
        <bgColor rgb="FFFFF2CC"/>
      </patternFill>
    </fill>
    <fill>
      <patternFill patternType="solid">
        <fgColor rgb="FFE2EFDA"/>
        <bgColor rgb="FFE2EFDA"/>
      </patternFill>
    </fill>
    <fill>
      <patternFill patternType="solid">
        <fgColor rgb="FF203864"/>
        <bgColor rgb="FF203864"/>
      </patternFill>
    </fill>
    <fill>
      <patternFill patternType="solid">
        <fgColor rgb="FFF2F2F2"/>
        <bgColor rgb="FFF2F2F2"/>
      </patternFill>
    </fill>
    <fill>
      <patternFill patternType="solid">
        <fgColor rgb="FFD6E4F0"/>
        <bgColor rgb="FFD6E4F0"/>
      </patternFill>
    </fill>
    <fill>
      <patternFill patternType="solid">
        <fgColor rgb="FF1F3864"/>
        <bgColor rgb="FF1F3864"/>
      </patternFill>
    </fill>
    <fill>
      <patternFill patternType="solid">
        <fgColor rgb="FF2E75B6"/>
        <bgColor rgb="FF2E75B6"/>
      </patternFill>
    </fill>
    <fill>
      <patternFill patternType="solid">
        <fgColor rgb="FFFFF2CC"/>
        <bgColor rgb="FFFFF2CC"/>
      </patternFill>
    </fill>
    <fill>
      <patternFill patternType="solid">
        <fgColor rgb="FFE2EFDA"/>
        <bgColor rgb="FFE2EFDA"/>
      </patternFill>
    </fill>
    <fill>
      <patternFill patternType="solid">
        <fgColor rgb="FF203864"/>
        <bgColor rgb="FF203864"/>
      </patternFill>
    </fill>
    <fill>
      <patternFill patternType="solid">
        <fgColor rgb="FFD6E4F0"/>
        <bgColor rgb="FFD6E4F0"/>
      </patternFill>
    </fill>
    <fill>
      <patternFill patternType="solid">
        <fgColor rgb="FFF2F2F2"/>
        <bgColor rgb="FFF2F2F2"/>
      </patternFill>
    </fill>
    <fill>
      <patternFill patternType="solid">
        <fgColor rgb="FFDCE6F1"/>
        <bgColor rgb="FFDCE6F1"/>
      </patternFill>
    </fill>
    <fill>
      <patternFill patternType="solid">
        <fgColor rgb="FFFFE0E0"/>
        <bgColor rgb="FFFFE0E0"/>
      </patternFill>
    </fill>
  </fills>
  <borders count="1">
    <border>
      <left/>
      <right/>
      <top/>
      <bottom/>
      <diagonal/>
    </border>
  </borders>
  <cellStyleXfs count="1">
    <xf numFmtId="0" fontId="0" fillId="0" borderId="0"/>
  </cellStyleXfs>
  <cellXfs count="159">
    <xf numFmtId="0" fontId="0" fillId="0" borderId="0" xfId="0"/>
    <xf numFmtId="0" fontId="3" fillId="0" borderId="0" xfId="0" applyFont="1" applyAlignment="1">
      <alignment horizontal="left" vertical="center"/>
    </xf>
    <xf numFmtId="0" fontId="4" fillId="4" borderId="0" xfId="0" applyFont="1" applyFill="1" applyAlignment="1">
      <alignment horizontal="center" vertical="center"/>
    </xf>
    <xf numFmtId="0" fontId="5" fillId="5" borderId="0" xfId="0" applyFont="1" applyFill="1" applyAlignment="1">
      <alignment horizontal="center" vertical="center"/>
    </xf>
    <xf numFmtId="0" fontId="6" fillId="0" borderId="0" xfId="0" applyFont="1" applyAlignment="1">
      <alignment horizontal="left" vertical="center"/>
    </xf>
    <xf numFmtId="0" fontId="8" fillId="6" borderId="0" xfId="0" applyFont="1" applyFill="1" applyAlignment="1">
      <alignment horizontal="left" vertical="center"/>
    </xf>
    <xf numFmtId="1" fontId="9" fillId="4" borderId="0" xfId="0" applyNumberFormat="1" applyFont="1" applyFill="1" applyAlignment="1">
      <alignment horizontal="center" vertical="center"/>
    </xf>
    <xf numFmtId="0" fontId="9" fillId="4" borderId="0" xfId="0" applyFont="1" applyFill="1" applyAlignment="1">
      <alignment horizontal="center" vertical="center"/>
    </xf>
    <xf numFmtId="0" fontId="3" fillId="7" borderId="0" xfId="0" applyFont="1" applyFill="1" applyAlignment="1">
      <alignment horizontal="center" vertical="center"/>
    </xf>
    <xf numFmtId="2" fontId="9" fillId="4" borderId="0" xfId="0" applyNumberFormat="1" applyFont="1" applyFill="1" applyAlignment="1">
      <alignment horizontal="center" vertical="center"/>
    </xf>
    <xf numFmtId="0" fontId="3" fillId="7" borderId="0" xfId="0" applyFont="1" applyFill="1" applyAlignment="1">
      <alignment horizontal="left" vertical="center"/>
    </xf>
    <xf numFmtId="2" fontId="10" fillId="5" borderId="0" xfId="0" applyNumberFormat="1" applyFont="1" applyFill="1" applyAlignment="1">
      <alignment horizontal="center" vertical="center"/>
    </xf>
    <xf numFmtId="3" fontId="9" fillId="4" borderId="0" xfId="0" applyNumberFormat="1" applyFont="1" applyFill="1" applyAlignment="1">
      <alignment horizontal="center" vertical="center"/>
    </xf>
    <xf numFmtId="0" fontId="13" fillId="0" borderId="0" xfId="0" applyFont="1" applyAlignment="1">
      <alignment horizontal="center" vertical="center"/>
    </xf>
    <xf numFmtId="3" fontId="10" fillId="5" borderId="0" xfId="0" applyNumberFormat="1" applyFont="1" applyFill="1" applyAlignment="1">
      <alignment horizontal="center" vertical="center"/>
    </xf>
    <xf numFmtId="0" fontId="12" fillId="4" borderId="0" xfId="0" applyFont="1" applyFill="1" applyAlignment="1">
      <alignment horizontal="left" vertical="center"/>
    </xf>
    <xf numFmtId="0" fontId="3" fillId="4" borderId="0" xfId="0" applyFont="1" applyFill="1" applyAlignment="1">
      <alignment horizontal="center" vertical="center"/>
    </xf>
    <xf numFmtId="3" fontId="14" fillId="5" borderId="0" xfId="0" applyNumberFormat="1" applyFont="1" applyFill="1" applyAlignment="1">
      <alignment horizontal="center" vertical="center"/>
    </xf>
    <xf numFmtId="0" fontId="15" fillId="2" borderId="0" xfId="0" applyFont="1" applyFill="1" applyAlignment="1">
      <alignment horizontal="left" vertical="center"/>
    </xf>
    <xf numFmtId="0" fontId="7" fillId="2" borderId="0" xfId="0" applyFont="1" applyFill="1" applyAlignment="1">
      <alignment horizontal="center" vertical="center"/>
    </xf>
    <xf numFmtId="3" fontId="15" fillId="2" borderId="0" xfId="0" applyNumberFormat="1" applyFont="1" applyFill="1" applyAlignment="1">
      <alignment horizontal="center" vertical="center"/>
    </xf>
    <xf numFmtId="2" fontId="3" fillId="7" borderId="0" xfId="0" applyNumberFormat="1" applyFont="1" applyFill="1" applyAlignment="1">
      <alignment horizontal="center" vertical="center"/>
    </xf>
    <xf numFmtId="9" fontId="16" fillId="8" borderId="0" xfId="0" applyNumberFormat="1" applyFont="1" applyFill="1" applyAlignment="1">
      <alignment horizontal="center" vertical="center"/>
    </xf>
    <xf numFmtId="0" fontId="19" fillId="11" borderId="0" xfId="0" applyFont="1" applyFill="1" applyAlignment="1">
      <alignment horizontal="left" vertical="center"/>
    </xf>
    <xf numFmtId="0" fontId="19" fillId="11" borderId="0" xfId="0" applyFont="1" applyFill="1" applyAlignment="1">
      <alignment horizontal="center" vertical="center"/>
    </xf>
    <xf numFmtId="0" fontId="21" fillId="12" borderId="0" xfId="0" applyFont="1" applyFill="1" applyAlignment="1">
      <alignment horizontal="left" vertical="center"/>
    </xf>
    <xf numFmtId="9" fontId="22" fillId="13" borderId="0" xfId="0" applyNumberFormat="1" applyFont="1" applyFill="1" applyAlignment="1">
      <alignment horizontal="center" vertical="center"/>
    </xf>
    <xf numFmtId="3" fontId="22" fillId="13" borderId="0" xfId="0" applyNumberFormat="1" applyFont="1" applyFill="1" applyAlignment="1">
      <alignment horizontal="center" vertical="center"/>
    </xf>
    <xf numFmtId="3" fontId="23" fillId="13" borderId="0" xfId="0" applyNumberFormat="1" applyFont="1" applyFill="1" applyAlignment="1">
      <alignment horizontal="center" vertical="center"/>
    </xf>
    <xf numFmtId="0" fontId="20" fillId="8" borderId="0" xfId="0" applyFont="1" applyFill="1" applyAlignment="1">
      <alignment horizontal="left" vertical="center"/>
    </xf>
    <xf numFmtId="0" fontId="24" fillId="8" borderId="0" xfId="0" applyFont="1" applyFill="1" applyAlignment="1">
      <alignment horizontal="left" vertical="center"/>
    </xf>
    <xf numFmtId="3" fontId="25" fillId="8" borderId="0" xfId="0" applyNumberFormat="1" applyFont="1" applyFill="1" applyAlignment="1">
      <alignment horizontal="center" vertical="center"/>
    </xf>
    <xf numFmtId="0" fontId="26" fillId="9" borderId="0" xfId="0" applyFont="1" applyFill="1" applyAlignment="1">
      <alignment horizontal="left" vertical="center"/>
    </xf>
    <xf numFmtId="0" fontId="0" fillId="9" borderId="0" xfId="0" applyFill="1"/>
    <xf numFmtId="3" fontId="26" fillId="9" borderId="0" xfId="0" applyNumberFormat="1" applyFont="1" applyFill="1" applyAlignment="1">
      <alignment horizontal="center" vertical="center"/>
    </xf>
    <xf numFmtId="3" fontId="24" fillId="8" borderId="0" xfId="0" applyNumberFormat="1" applyFont="1" applyFill="1" applyAlignment="1">
      <alignment horizontal="left" vertical="center"/>
    </xf>
    <xf numFmtId="3" fontId="27" fillId="14" borderId="0" xfId="0" applyNumberFormat="1" applyFont="1" applyFill="1" applyAlignment="1">
      <alignment horizontal="center" vertical="center"/>
    </xf>
    <xf numFmtId="9" fontId="27" fillId="14" borderId="0" xfId="0" applyNumberFormat="1" applyFont="1" applyFill="1" applyAlignment="1">
      <alignment horizontal="center" vertical="center"/>
    </xf>
    <xf numFmtId="0" fontId="30" fillId="17" borderId="0" xfId="0" applyFont="1" applyFill="1" applyAlignment="1">
      <alignment horizontal="left" vertical="center"/>
    </xf>
    <xf numFmtId="0" fontId="30" fillId="17" borderId="0" xfId="0" applyFont="1" applyFill="1" applyAlignment="1">
      <alignment horizontal="center" vertical="center"/>
    </xf>
    <xf numFmtId="0" fontId="32" fillId="18" borderId="0" xfId="0" applyFont="1" applyFill="1" applyAlignment="1">
      <alignment horizontal="left" vertical="center"/>
    </xf>
    <xf numFmtId="3" fontId="33" fillId="19" borderId="0" xfId="0" applyNumberFormat="1" applyFont="1" applyFill="1" applyAlignment="1">
      <alignment horizontal="center" vertical="center"/>
    </xf>
    <xf numFmtId="3" fontId="34" fillId="19" borderId="0" xfId="0" applyNumberFormat="1" applyFont="1" applyFill="1" applyAlignment="1">
      <alignment horizontal="center" vertical="center"/>
    </xf>
    <xf numFmtId="0" fontId="31" fillId="14" borderId="0" xfId="0" applyFont="1" applyFill="1" applyAlignment="1">
      <alignment horizontal="left" vertical="center"/>
    </xf>
    <xf numFmtId="3" fontId="35" fillId="14" borderId="0" xfId="0" applyNumberFormat="1" applyFont="1" applyFill="1" applyAlignment="1">
      <alignment horizontal="center" vertical="center"/>
    </xf>
    <xf numFmtId="0" fontId="36" fillId="15" borderId="0" xfId="0" applyFont="1" applyFill="1" applyAlignment="1">
      <alignment horizontal="left" vertical="center"/>
    </xf>
    <xf numFmtId="3" fontId="36" fillId="15" borderId="0" xfId="0" applyNumberFormat="1" applyFont="1" applyFill="1" applyAlignment="1">
      <alignment horizontal="center" vertical="center"/>
    </xf>
    <xf numFmtId="0" fontId="39" fillId="0" borderId="0" xfId="0" applyFont="1" applyAlignment="1">
      <alignment horizontal="left" vertical="center"/>
    </xf>
    <xf numFmtId="0" fontId="40" fillId="22" borderId="0" xfId="0" applyFont="1" applyFill="1" applyAlignment="1">
      <alignment horizontal="center" vertical="center"/>
    </xf>
    <xf numFmtId="0" fontId="41" fillId="23" borderId="0" xfId="0" applyFont="1" applyFill="1" applyAlignment="1">
      <alignment horizontal="center" vertical="center"/>
    </xf>
    <xf numFmtId="0" fontId="42" fillId="24" borderId="0" xfId="0" applyFont="1" applyFill="1" applyAlignment="1">
      <alignment horizontal="center" vertical="center"/>
    </xf>
    <xf numFmtId="0" fontId="39" fillId="25" borderId="0" xfId="0" applyFont="1" applyFill="1" applyAlignment="1">
      <alignment horizontal="left" vertical="center"/>
    </xf>
    <xf numFmtId="0" fontId="39" fillId="25" borderId="0" xfId="0" applyFont="1" applyFill="1" applyAlignment="1">
      <alignment horizontal="center" vertical="center"/>
    </xf>
    <xf numFmtId="0" fontId="43" fillId="25" borderId="0" xfId="0" applyFont="1" applyFill="1" applyAlignment="1">
      <alignment horizontal="center" vertical="center"/>
    </xf>
    <xf numFmtId="0" fontId="44" fillId="26" borderId="0" xfId="0" applyFont="1" applyFill="1" applyAlignment="1">
      <alignment horizontal="center" vertical="center"/>
    </xf>
    <xf numFmtId="0" fontId="45" fillId="24" borderId="0" xfId="0" applyFont="1" applyFill="1" applyAlignment="1">
      <alignment horizontal="center" vertical="center"/>
    </xf>
    <xf numFmtId="0" fontId="46" fillId="27" borderId="0" xfId="0" applyFont="1" applyFill="1" applyAlignment="1">
      <alignment horizontal="left" vertical="center"/>
    </xf>
    <xf numFmtId="3" fontId="47" fillId="22" borderId="0" xfId="0" applyNumberFormat="1" applyFont="1" applyFill="1" applyAlignment="1">
      <alignment horizontal="center" vertical="center"/>
    </xf>
    <xf numFmtId="3" fontId="48" fillId="23" borderId="0" xfId="0" applyNumberFormat="1" applyFont="1" applyFill="1" applyAlignment="1">
      <alignment horizontal="center" vertical="center"/>
    </xf>
    <xf numFmtId="3" fontId="49" fillId="26" borderId="0" xfId="0" applyNumberFormat="1" applyFont="1" applyFill="1" applyAlignment="1">
      <alignment horizontal="center" vertical="center"/>
    </xf>
    <xf numFmtId="3" fontId="50" fillId="24" borderId="0" xfId="0" applyNumberFormat="1" applyFont="1" applyFill="1" applyAlignment="1">
      <alignment horizontal="center" vertical="center"/>
    </xf>
    <xf numFmtId="0" fontId="51" fillId="27" borderId="0" xfId="0" applyFont="1" applyFill="1" applyAlignment="1">
      <alignment horizontal="left" vertical="center"/>
    </xf>
    <xf numFmtId="3" fontId="52" fillId="22" borderId="0" xfId="0" applyNumberFormat="1" applyFont="1" applyFill="1" applyAlignment="1">
      <alignment horizontal="center" vertical="center"/>
    </xf>
    <xf numFmtId="3" fontId="53" fillId="23" borderId="0" xfId="0" applyNumberFormat="1" applyFont="1" applyFill="1" applyAlignment="1">
      <alignment horizontal="center" vertical="center"/>
    </xf>
    <xf numFmtId="3" fontId="54" fillId="24" borderId="0" xfId="0" applyNumberFormat="1" applyFont="1" applyFill="1" applyAlignment="1">
      <alignment horizontal="center" vertical="center"/>
    </xf>
    <xf numFmtId="0" fontId="55" fillId="25" borderId="0" xfId="0" applyFont="1" applyFill="1" applyAlignment="1">
      <alignment horizontal="left" vertical="center"/>
    </xf>
    <xf numFmtId="164" fontId="53" fillId="23" borderId="0" xfId="0" applyNumberFormat="1" applyFont="1" applyFill="1" applyAlignment="1">
      <alignment horizontal="center" vertical="center"/>
    </xf>
    <xf numFmtId="10" fontId="49" fillId="26" borderId="0" xfId="0" applyNumberFormat="1" applyFont="1" applyFill="1" applyAlignment="1">
      <alignment horizontal="center" vertical="center"/>
    </xf>
    <xf numFmtId="0" fontId="58" fillId="0" borderId="0" xfId="0" applyFont="1" applyAlignment="1">
      <alignment horizontal="left" vertical="center"/>
    </xf>
    <xf numFmtId="0" fontId="59" fillId="30" borderId="0" xfId="0" applyFont="1" applyFill="1" applyAlignment="1">
      <alignment horizontal="center" vertical="center"/>
    </xf>
    <xf numFmtId="0" fontId="60" fillId="31" borderId="0" xfId="0" applyFont="1" applyFill="1" applyAlignment="1">
      <alignment horizontal="center" vertical="center"/>
    </xf>
    <xf numFmtId="0" fontId="61" fillId="32" borderId="0" xfId="0" applyFont="1" applyFill="1" applyAlignment="1">
      <alignment horizontal="center" vertical="center"/>
    </xf>
    <xf numFmtId="0" fontId="62" fillId="33" borderId="0" xfId="0" applyFont="1" applyFill="1" applyAlignment="1">
      <alignment horizontal="center" vertical="center"/>
    </xf>
    <xf numFmtId="0" fontId="63" fillId="30" borderId="0" xfId="0" applyFont="1" applyFill="1" applyAlignment="1">
      <alignment horizontal="center" vertical="center"/>
    </xf>
    <xf numFmtId="0" fontId="64" fillId="31" borderId="0" xfId="0" applyFont="1" applyFill="1" applyAlignment="1">
      <alignment horizontal="center" vertical="center"/>
    </xf>
    <xf numFmtId="0" fontId="65" fillId="32" borderId="0" xfId="0" applyFont="1" applyFill="1" applyAlignment="1">
      <alignment horizontal="center" vertical="center"/>
    </xf>
    <xf numFmtId="0" fontId="66" fillId="33" borderId="0" xfId="0" applyFont="1" applyFill="1" applyAlignment="1">
      <alignment horizontal="center" vertical="center"/>
    </xf>
    <xf numFmtId="0" fontId="67" fillId="34" borderId="0" xfId="0" applyFont="1" applyFill="1" applyAlignment="1">
      <alignment horizontal="left" vertical="center"/>
    </xf>
    <xf numFmtId="3" fontId="62" fillId="33" borderId="0" xfId="0" applyNumberFormat="1" applyFont="1" applyFill="1" applyAlignment="1">
      <alignment horizontal="center" vertical="center"/>
    </xf>
    <xf numFmtId="0" fontId="68" fillId="34" borderId="0" xfId="0" applyFont="1" applyFill="1" applyAlignment="1">
      <alignment horizontal="left" vertical="center"/>
    </xf>
    <xf numFmtId="3" fontId="69" fillId="30" borderId="0" xfId="0" applyNumberFormat="1" applyFont="1" applyFill="1" applyAlignment="1">
      <alignment horizontal="center" vertical="center"/>
    </xf>
    <xf numFmtId="3" fontId="70" fillId="31" borderId="0" xfId="0" applyNumberFormat="1" applyFont="1" applyFill="1" applyAlignment="1">
      <alignment horizontal="center" vertical="center"/>
    </xf>
    <xf numFmtId="3" fontId="71" fillId="32" borderId="0" xfId="0" applyNumberFormat="1" applyFont="1" applyFill="1" applyAlignment="1">
      <alignment horizontal="center" vertical="center"/>
    </xf>
    <xf numFmtId="164" fontId="71" fillId="32" borderId="0" xfId="0" applyNumberFormat="1" applyFont="1" applyFill="1" applyAlignment="1">
      <alignment horizontal="center" vertical="center"/>
    </xf>
    <xf numFmtId="0" fontId="72" fillId="35" borderId="0" xfId="0" applyFont="1" applyFill="1" applyAlignment="1">
      <alignment horizontal="left" vertical="center"/>
    </xf>
    <xf numFmtId="0" fontId="10" fillId="32" borderId="0" xfId="0" applyFont="1" applyFill="1" applyAlignment="1">
      <alignment horizontal="center" vertical="center"/>
    </xf>
    <xf numFmtId="10" fontId="69" fillId="30" borderId="0" xfId="0" applyNumberFormat="1" applyFont="1" applyFill="1" applyAlignment="1">
      <alignment horizontal="center" vertical="center"/>
    </xf>
    <xf numFmtId="10" fontId="70" fillId="31" borderId="0" xfId="0" applyNumberFormat="1" applyFont="1" applyFill="1" applyAlignment="1">
      <alignment horizontal="center" vertical="center"/>
    </xf>
    <xf numFmtId="10" fontId="71" fillId="32" borderId="0" xfId="0" applyNumberFormat="1" applyFont="1" applyFill="1" applyAlignment="1">
      <alignment horizontal="center" vertical="center"/>
    </xf>
    <xf numFmtId="10" fontId="62" fillId="33" borderId="0" xfId="0" applyNumberFormat="1" applyFont="1" applyFill="1" applyAlignment="1">
      <alignment horizontal="center" vertical="center"/>
    </xf>
    <xf numFmtId="0" fontId="73" fillId="33" borderId="0" xfId="0" applyFont="1" applyFill="1" applyAlignment="1">
      <alignment horizontal="center" vertical="center"/>
    </xf>
    <xf numFmtId="0" fontId="76" fillId="0" borderId="0" xfId="0" applyFont="1" applyAlignment="1">
      <alignment horizontal="left" vertical="center"/>
    </xf>
    <xf numFmtId="0" fontId="77" fillId="38" borderId="0" xfId="0" applyFont="1" applyFill="1" applyAlignment="1">
      <alignment horizontal="center" vertical="center"/>
    </xf>
    <xf numFmtId="0" fontId="78" fillId="39" borderId="0" xfId="0" applyFont="1" applyFill="1" applyAlignment="1">
      <alignment horizontal="center" vertical="center"/>
    </xf>
    <xf numFmtId="0" fontId="79" fillId="40" borderId="0" xfId="0" applyFont="1" applyFill="1" applyAlignment="1">
      <alignment horizontal="center" vertical="center"/>
    </xf>
    <xf numFmtId="0" fontId="76" fillId="41" borderId="0" xfId="0" applyFont="1" applyFill="1" applyAlignment="1">
      <alignment horizontal="left" vertical="center"/>
    </xf>
    <xf numFmtId="0" fontId="80" fillId="38" borderId="0" xfId="0" applyFont="1" applyFill="1" applyAlignment="1">
      <alignment horizontal="center" vertical="center"/>
    </xf>
    <xf numFmtId="0" fontId="81" fillId="41" borderId="0" xfId="0" applyFont="1" applyFill="1" applyAlignment="1">
      <alignment horizontal="center" vertical="center"/>
    </xf>
    <xf numFmtId="0" fontId="82" fillId="40" borderId="0" xfId="0" applyFont="1" applyFill="1" applyAlignment="1">
      <alignment horizontal="center" vertical="center"/>
    </xf>
    <xf numFmtId="0" fontId="84" fillId="42" borderId="0" xfId="0" applyFont="1" applyFill="1" applyAlignment="1">
      <alignment horizontal="left" vertical="center"/>
    </xf>
    <xf numFmtId="3" fontId="85" fillId="38" borderId="0" xfId="0" applyNumberFormat="1" applyFont="1" applyFill="1" applyAlignment="1">
      <alignment horizontal="center" vertical="center"/>
    </xf>
    <xf numFmtId="3" fontId="86" fillId="39" borderId="0" xfId="0" applyNumberFormat="1" applyFont="1" applyFill="1" applyAlignment="1">
      <alignment horizontal="center" vertical="center"/>
    </xf>
    <xf numFmtId="3" fontId="87" fillId="40" borderId="0" xfId="0" applyNumberFormat="1" applyFont="1" applyFill="1" applyAlignment="1">
      <alignment horizontal="center" vertical="center"/>
    </xf>
    <xf numFmtId="0" fontId="88" fillId="42" borderId="0" xfId="0" applyFont="1" applyFill="1" applyAlignment="1">
      <alignment horizontal="left" vertical="center"/>
    </xf>
    <xf numFmtId="3" fontId="89" fillId="38" borderId="0" xfId="0" applyNumberFormat="1" applyFont="1" applyFill="1" applyAlignment="1">
      <alignment horizontal="center" vertical="center"/>
    </xf>
    <xf numFmtId="3" fontId="90" fillId="39" borderId="0" xfId="0" applyNumberFormat="1" applyFont="1" applyFill="1" applyAlignment="1">
      <alignment horizontal="center" vertical="center"/>
    </xf>
    <xf numFmtId="0" fontId="91" fillId="41" borderId="0" xfId="0" applyFont="1" applyFill="1" applyAlignment="1">
      <alignment horizontal="left" vertical="center"/>
    </xf>
    <xf numFmtId="164" fontId="86" fillId="39" borderId="0" xfId="0" applyNumberFormat="1" applyFont="1" applyFill="1" applyAlignment="1">
      <alignment horizontal="center" vertical="center"/>
    </xf>
    <xf numFmtId="164" fontId="87" fillId="40" borderId="0" xfId="0" applyNumberFormat="1" applyFont="1" applyFill="1" applyAlignment="1">
      <alignment horizontal="center" vertical="center"/>
    </xf>
    <xf numFmtId="0" fontId="92" fillId="43" borderId="0" xfId="0" applyFont="1" applyFill="1" applyAlignment="1">
      <alignment horizontal="center" vertical="center"/>
    </xf>
    <xf numFmtId="0" fontId="93" fillId="39" borderId="0" xfId="0" applyFont="1" applyFill="1" applyAlignment="1">
      <alignment horizontal="center" vertical="center"/>
    </xf>
    <xf numFmtId="0" fontId="94" fillId="44" borderId="0" xfId="0" applyFont="1" applyFill="1" applyAlignment="1">
      <alignment horizontal="center" vertical="center"/>
    </xf>
    <xf numFmtId="3" fontId="95" fillId="43" borderId="0" xfId="0" applyNumberFormat="1" applyFont="1" applyFill="1" applyAlignment="1">
      <alignment horizontal="center" vertical="center"/>
    </xf>
    <xf numFmtId="3" fontId="96" fillId="44" borderId="0" xfId="0" applyNumberFormat="1" applyFont="1" applyFill="1" applyAlignment="1">
      <alignment horizontal="center" vertical="center"/>
    </xf>
    <xf numFmtId="164" fontId="95" fillId="43" borderId="0" xfId="0" applyNumberFormat="1" applyFont="1" applyFill="1" applyAlignment="1">
      <alignment horizontal="center" vertical="center"/>
    </xf>
    <xf numFmtId="164" fontId="90" fillId="39" borderId="0" xfId="0" applyNumberFormat="1" applyFont="1" applyFill="1" applyAlignment="1">
      <alignment horizontal="center" vertical="center"/>
    </xf>
    <xf numFmtId="164" fontId="96" fillId="44" borderId="0" xfId="0" applyNumberFormat="1" applyFont="1" applyFill="1" applyAlignment="1">
      <alignment horizontal="center" vertical="center"/>
    </xf>
    <xf numFmtId="3" fontId="97" fillId="43" borderId="0" xfId="0" applyNumberFormat="1" applyFont="1" applyFill="1" applyAlignment="1">
      <alignment horizontal="center" vertical="center"/>
    </xf>
    <xf numFmtId="3" fontId="98" fillId="44" borderId="0" xfId="0" applyNumberFormat="1" applyFont="1" applyFill="1" applyAlignment="1">
      <alignment horizontal="center" vertical="center"/>
    </xf>
    <xf numFmtId="164" fontId="97" fillId="43" borderId="0" xfId="0" applyNumberFormat="1" applyFont="1" applyFill="1" applyAlignment="1">
      <alignment horizontal="center" vertical="center"/>
    </xf>
    <xf numFmtId="164" fontId="98" fillId="44" borderId="0" xfId="0" applyNumberFormat="1" applyFont="1" applyFill="1" applyAlignment="1">
      <alignment horizontal="center" vertical="center"/>
    </xf>
    <xf numFmtId="0" fontId="99" fillId="37" borderId="0" xfId="0" applyFont="1" applyFill="1" applyAlignment="1">
      <alignment horizontal="center" vertical="center"/>
    </xf>
    <xf numFmtId="3" fontId="100" fillId="39" borderId="0" xfId="0" applyNumberFormat="1" applyFont="1" applyFill="1" applyAlignment="1">
      <alignment horizontal="center" vertical="center"/>
    </xf>
    <xf numFmtId="164" fontId="100" fillId="39" borderId="0" xfId="0" applyNumberFormat="1" applyFont="1" applyFill="1" applyAlignment="1">
      <alignment horizontal="center" vertical="center"/>
    </xf>
    <xf numFmtId="0" fontId="101" fillId="37" borderId="0" xfId="0" applyFont="1" applyFill="1" applyAlignment="1">
      <alignment horizontal="center" vertical="center"/>
    </xf>
    <xf numFmtId="0" fontId="102" fillId="38" borderId="0" xfId="0" applyFont="1" applyFill="1" applyAlignment="1">
      <alignment horizontal="center" vertical="center"/>
    </xf>
    <xf numFmtId="49" fontId="86" fillId="39" borderId="0" xfId="0" applyNumberFormat="1" applyFont="1" applyFill="1" applyAlignment="1">
      <alignment horizontal="center" vertical="center"/>
    </xf>
    <xf numFmtId="49" fontId="90" fillId="39" borderId="0" xfId="0" applyNumberFormat="1" applyFont="1" applyFill="1" applyAlignment="1">
      <alignment horizontal="center" vertical="center"/>
    </xf>
    <xf numFmtId="164" fontId="85" fillId="38" borderId="0" xfId="0" applyNumberFormat="1" applyFont="1" applyFill="1" applyAlignment="1">
      <alignment horizontal="center" vertical="center"/>
    </xf>
    <xf numFmtId="0" fontId="6" fillId="0" borderId="0" xfId="0" applyFont="1" applyAlignment="1">
      <alignment horizontal="left" vertical="top" wrapText="1"/>
    </xf>
    <xf numFmtId="0" fontId="0" fillId="0" borderId="0" xfId="0"/>
    <xf numFmtId="0" fontId="57" fillId="29" borderId="0" xfId="0" applyFont="1" applyFill="1" applyAlignment="1">
      <alignment horizontal="left" vertical="center"/>
    </xf>
    <xf numFmtId="0" fontId="62" fillId="28" borderId="0" xfId="0" applyFont="1" applyFill="1" applyAlignment="1">
      <alignment horizontal="center" vertical="center"/>
    </xf>
    <xf numFmtId="0" fontId="62" fillId="33" borderId="0" xfId="0" applyFont="1" applyFill="1" applyAlignment="1">
      <alignment horizontal="center" vertical="center"/>
    </xf>
    <xf numFmtId="0" fontId="56" fillId="28" borderId="0" xfId="0" applyFont="1" applyFill="1" applyAlignment="1">
      <alignment horizontal="left" vertical="center"/>
    </xf>
    <xf numFmtId="0" fontId="15" fillId="28" borderId="0" xfId="0" applyFont="1" applyFill="1" applyAlignment="1">
      <alignment horizontal="left" vertical="center"/>
    </xf>
    <xf numFmtId="0" fontId="7" fillId="2" borderId="0" xfId="0" applyFont="1" applyFill="1" applyAlignment="1">
      <alignment horizontal="left" vertical="center"/>
    </xf>
    <xf numFmtId="0" fontId="2" fillId="3" borderId="0" xfId="0" applyFont="1" applyFill="1" applyAlignment="1">
      <alignment horizontal="left" vertical="center"/>
    </xf>
    <xf numFmtId="0" fontId="1" fillId="2" borderId="0" xfId="0" applyFont="1" applyFill="1" applyAlignment="1">
      <alignment horizontal="left" vertical="center"/>
    </xf>
    <xf numFmtId="0" fontId="9" fillId="4" borderId="0" xfId="0" applyFont="1" applyFill="1" applyAlignment="1">
      <alignment horizontal="center" vertical="center"/>
    </xf>
    <xf numFmtId="0" fontId="12" fillId="7" borderId="0" xfId="0" applyFont="1" applyFill="1"/>
    <xf numFmtId="0" fontId="11" fillId="2" borderId="0" xfId="0" applyFont="1" applyFill="1" applyAlignment="1">
      <alignment horizontal="left" vertical="center"/>
    </xf>
    <xf numFmtId="0" fontId="20" fillId="11" borderId="0" xfId="0" applyFont="1" applyFill="1" applyAlignment="1">
      <alignment horizontal="left" vertical="center"/>
    </xf>
    <xf numFmtId="0" fontId="18" fillId="10" borderId="0" xfId="0" applyFont="1" applyFill="1" applyAlignment="1">
      <alignment horizontal="left" vertical="center"/>
    </xf>
    <xf numFmtId="0" fontId="17" fillId="9" borderId="0" xfId="0" applyFont="1" applyFill="1" applyAlignment="1">
      <alignment horizontal="left" vertical="center"/>
    </xf>
    <xf numFmtId="0" fontId="29" fillId="16" borderId="0" xfId="0" applyFont="1" applyFill="1" applyAlignment="1">
      <alignment horizontal="left" vertical="center"/>
    </xf>
    <xf numFmtId="0" fontId="31" fillId="17" borderId="0" xfId="0" applyFont="1" applyFill="1" applyAlignment="1">
      <alignment horizontal="left" vertical="center"/>
    </xf>
    <xf numFmtId="0" fontId="28" fillId="15" borderId="0" xfId="0" applyFont="1" applyFill="1" applyAlignment="1">
      <alignment horizontal="left" vertical="center"/>
    </xf>
    <xf numFmtId="0" fontId="38" fillId="21" borderId="0" xfId="0" applyFont="1" applyFill="1" applyAlignment="1">
      <alignment horizontal="left" vertical="center"/>
    </xf>
    <xf numFmtId="0" fontId="37" fillId="20" borderId="0" xfId="0" applyFont="1" applyFill="1" applyAlignment="1">
      <alignment horizontal="left" vertical="center"/>
    </xf>
    <xf numFmtId="0" fontId="83" fillId="0" borderId="0" xfId="0" applyFont="1" applyAlignment="1">
      <alignment horizontal="left" vertical="center"/>
    </xf>
    <xf numFmtId="0" fontId="75" fillId="37" borderId="0" xfId="0" applyFont="1" applyFill="1" applyAlignment="1">
      <alignment horizontal="left" vertical="center" wrapText="1"/>
    </xf>
    <xf numFmtId="0" fontId="74" fillId="36" borderId="0" xfId="0" applyFont="1" applyFill="1" applyAlignment="1">
      <alignment horizontal="left" vertical="center"/>
    </xf>
    <xf numFmtId="0" fontId="87" fillId="36" borderId="0" xfId="0" applyFont="1" applyFill="1" applyAlignment="1">
      <alignment horizontal="left" vertical="center"/>
    </xf>
    <xf numFmtId="0" fontId="75" fillId="37" borderId="0" xfId="0" applyFont="1" applyFill="1" applyAlignment="1">
      <alignment horizontal="left" vertical="center"/>
    </xf>
    <xf numFmtId="10" fontId="87" fillId="40" borderId="0" xfId="0" applyNumberFormat="1" applyFont="1" applyFill="1" applyAlignment="1">
      <alignment horizontal="center" vertical="center"/>
    </xf>
    <xf numFmtId="3" fontId="25" fillId="43" borderId="0" xfId="0" applyNumberFormat="1" applyFont="1" applyFill="1" applyAlignment="1">
      <alignment horizontal="center" vertical="center"/>
    </xf>
    <xf numFmtId="3" fontId="14" fillId="39" borderId="0" xfId="0" applyNumberFormat="1" applyFont="1" applyFill="1" applyAlignment="1">
      <alignment horizontal="center" vertical="center"/>
    </xf>
    <xf numFmtId="10" fontId="86" fillId="39" borderId="0" xfId="0" applyNumberFormat="1" applyFont="1" applyFill="1" applyAlignment="1">
      <alignment horizontal="center" vertical="center"/>
    </xf>
  </cellXfs>
  <cellStyles count="1">
    <cellStyle name="Normal" xfId="0" builtinId="0"/>
  </cellStyles>
  <dxfs count="15">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472C4"/>
  </sheetPr>
  <dimension ref="A1:E56"/>
  <sheetViews>
    <sheetView workbookViewId="0">
      <pane ySplit="4" topLeftCell="A29" activePane="bottomLeft" state="frozen"/>
      <selection pane="bottomLeft" activeCell="B54" sqref="B54"/>
    </sheetView>
  </sheetViews>
  <sheetFormatPr baseColWidth="10" defaultColWidth="8.83203125" defaultRowHeight="15" x14ac:dyDescent="0.2"/>
  <cols>
    <col min="1" max="1" width="26" customWidth="1"/>
    <col min="2" max="4" width="16" customWidth="1"/>
    <col min="5" max="5" width="22" customWidth="1"/>
  </cols>
  <sheetData>
    <row r="1" spans="1:5" ht="28" customHeight="1" x14ac:dyDescent="0.2">
      <c r="A1" s="138" t="s">
        <v>26</v>
      </c>
      <c r="B1" s="130"/>
      <c r="C1" s="130"/>
      <c r="D1" s="130"/>
      <c r="E1" s="130"/>
    </row>
    <row r="2" spans="1:5" ht="16" customHeight="1" x14ac:dyDescent="0.2">
      <c r="A2" s="137" t="s">
        <v>27</v>
      </c>
      <c r="B2" s="130"/>
      <c r="C2" s="130"/>
      <c r="D2" s="130"/>
      <c r="E2" s="130"/>
    </row>
    <row r="3" spans="1:5" ht="16" customHeight="1" x14ac:dyDescent="0.2">
      <c r="A3" s="1" t="s">
        <v>2</v>
      </c>
      <c r="B3" s="2" t="s">
        <v>28</v>
      </c>
      <c r="C3" s="3" t="s">
        <v>29</v>
      </c>
      <c r="D3" s="4" t="s">
        <v>30</v>
      </c>
    </row>
    <row r="4" spans="1:5" ht="8" customHeight="1" x14ac:dyDescent="0.2"/>
    <row r="5" spans="1:5" ht="18" customHeight="1" x14ac:dyDescent="0.2">
      <c r="A5" s="136" t="s">
        <v>31</v>
      </c>
      <c r="B5" s="130"/>
      <c r="C5" s="130"/>
      <c r="D5" s="130"/>
      <c r="E5" s="130"/>
    </row>
    <row r="6" spans="1:5" ht="18" customHeight="1" x14ac:dyDescent="0.2">
      <c r="A6" s="5" t="s">
        <v>32</v>
      </c>
      <c r="B6" s="6">
        <v>2025</v>
      </c>
      <c r="C6" s="5" t="s">
        <v>33</v>
      </c>
      <c r="D6" s="7" t="s">
        <v>34</v>
      </c>
    </row>
    <row r="7" spans="1:5" ht="18" customHeight="1" x14ac:dyDescent="0.2">
      <c r="A7" s="5" t="s">
        <v>35</v>
      </c>
      <c r="B7" s="139" t="s">
        <v>36</v>
      </c>
      <c r="C7" s="130"/>
      <c r="D7" s="130"/>
    </row>
    <row r="8" spans="1:5" ht="8" customHeight="1" x14ac:dyDescent="0.2"/>
    <row r="9" spans="1:5" ht="18" customHeight="1" x14ac:dyDescent="0.2">
      <c r="A9" s="136" t="s">
        <v>37</v>
      </c>
      <c r="B9" s="130"/>
      <c r="C9" s="130"/>
      <c r="D9" s="130"/>
      <c r="E9" s="130"/>
    </row>
    <row r="10" spans="1:5" ht="18" customHeight="1" x14ac:dyDescent="0.2">
      <c r="A10" s="5" t="s">
        <v>38</v>
      </c>
      <c r="B10" s="7" t="s">
        <v>39</v>
      </c>
      <c r="C10" s="5" t="s">
        <v>40</v>
      </c>
      <c r="D10" s="7" t="s">
        <v>41</v>
      </c>
    </row>
    <row r="11" spans="1:5" ht="18" customHeight="1" x14ac:dyDescent="0.2">
      <c r="A11" s="5" t="s">
        <v>42</v>
      </c>
      <c r="B11" s="7" t="s">
        <v>43</v>
      </c>
      <c r="C11" s="5" t="s">
        <v>44</v>
      </c>
      <c r="D11" s="7" t="s">
        <v>45</v>
      </c>
    </row>
    <row r="12" spans="1:5" ht="18" customHeight="1" x14ac:dyDescent="0.2">
      <c r="A12" s="5" t="s">
        <v>46</v>
      </c>
      <c r="B12" s="7" t="s">
        <v>47</v>
      </c>
      <c r="C12" s="5" t="s">
        <v>48</v>
      </c>
      <c r="D12" s="7" t="s">
        <v>49</v>
      </c>
    </row>
    <row r="13" spans="1:5" ht="18" customHeight="1" x14ac:dyDescent="0.2">
      <c r="C13" s="5" t="s">
        <v>50</v>
      </c>
      <c r="D13" s="7" t="s">
        <v>51</v>
      </c>
    </row>
    <row r="14" spans="1:5" ht="8" customHeight="1" x14ac:dyDescent="0.2"/>
    <row r="15" spans="1:5" ht="18" customHeight="1" x14ac:dyDescent="0.2">
      <c r="A15" s="136" t="s">
        <v>52</v>
      </c>
      <c r="B15" s="130"/>
      <c r="C15" s="130"/>
      <c r="D15" s="130"/>
      <c r="E15" s="130"/>
    </row>
    <row r="16" spans="1:5" ht="16" customHeight="1" x14ac:dyDescent="0.2">
      <c r="A16" s="8" t="s">
        <v>53</v>
      </c>
      <c r="B16" s="8" t="s">
        <v>54</v>
      </c>
      <c r="C16" s="8" t="s">
        <v>55</v>
      </c>
    </row>
    <row r="17" spans="1:5" ht="17" customHeight="1" x14ac:dyDescent="0.2">
      <c r="A17" s="5" t="s">
        <v>6</v>
      </c>
      <c r="B17" s="9">
        <v>1.05</v>
      </c>
      <c r="C17" s="4" t="s">
        <v>56</v>
      </c>
    </row>
    <row r="18" spans="1:5" ht="17" customHeight="1" x14ac:dyDescent="0.2">
      <c r="A18" s="5" t="s">
        <v>7</v>
      </c>
      <c r="B18" s="9">
        <v>1</v>
      </c>
    </row>
    <row r="19" spans="1:5" ht="17" customHeight="1" x14ac:dyDescent="0.2">
      <c r="A19" s="5" t="s">
        <v>8</v>
      </c>
      <c r="B19" s="9">
        <v>1.2</v>
      </c>
      <c r="C19" s="4" t="s">
        <v>57</v>
      </c>
    </row>
    <row r="20" spans="1:5" ht="17" customHeight="1" x14ac:dyDescent="0.2">
      <c r="A20" s="5" t="s">
        <v>58</v>
      </c>
      <c r="B20" s="9">
        <v>0.9</v>
      </c>
      <c r="C20" s="4" t="s">
        <v>59</v>
      </c>
    </row>
    <row r="21" spans="1:5" ht="17" customHeight="1" x14ac:dyDescent="0.2">
      <c r="A21" s="5" t="s">
        <v>60</v>
      </c>
      <c r="B21" s="9">
        <v>1</v>
      </c>
    </row>
    <row r="22" spans="1:5" ht="17" customHeight="1" x14ac:dyDescent="0.2">
      <c r="A22" s="5" t="s">
        <v>61</v>
      </c>
      <c r="B22" s="9">
        <v>0.85</v>
      </c>
      <c r="C22" s="4" t="s">
        <v>62</v>
      </c>
    </row>
    <row r="23" spans="1:5" ht="17" customHeight="1" x14ac:dyDescent="0.2">
      <c r="A23" s="5" t="s">
        <v>63</v>
      </c>
      <c r="B23" s="9">
        <v>0.8</v>
      </c>
      <c r="C23" s="4" t="s">
        <v>64</v>
      </c>
    </row>
    <row r="24" spans="1:5" ht="17" customHeight="1" x14ac:dyDescent="0.2">
      <c r="A24" s="5" t="s">
        <v>65</v>
      </c>
      <c r="B24" s="9">
        <v>0.85</v>
      </c>
      <c r="C24" s="4" t="s">
        <v>66</v>
      </c>
    </row>
    <row r="25" spans="1:5" ht="17" customHeight="1" x14ac:dyDescent="0.2">
      <c r="A25" s="5" t="s">
        <v>67</v>
      </c>
      <c r="B25" s="9">
        <v>1.05</v>
      </c>
      <c r="C25" s="4" t="s">
        <v>68</v>
      </c>
    </row>
    <row r="26" spans="1:5" ht="17" customHeight="1" x14ac:dyDescent="0.2">
      <c r="A26" s="5" t="s">
        <v>69</v>
      </c>
      <c r="B26" s="9">
        <v>1.05</v>
      </c>
    </row>
    <row r="27" spans="1:5" ht="17" customHeight="1" x14ac:dyDescent="0.2">
      <c r="A27" s="5" t="s">
        <v>70</v>
      </c>
      <c r="B27" s="9">
        <v>1.1000000000000001</v>
      </c>
      <c r="C27" s="4" t="s">
        <v>71</v>
      </c>
    </row>
    <row r="28" spans="1:5" ht="17" customHeight="1" x14ac:dyDescent="0.2">
      <c r="A28" s="5" t="s">
        <v>72</v>
      </c>
      <c r="B28" s="9">
        <v>1.1499999999999999</v>
      </c>
      <c r="C28" s="4" t="s">
        <v>73</v>
      </c>
    </row>
    <row r="29" spans="1:5" ht="17" customHeight="1" x14ac:dyDescent="0.2">
      <c r="A29" s="10" t="s">
        <v>74</v>
      </c>
      <c r="B29" s="11">
        <f>SUM(B17:B28)</f>
        <v>12</v>
      </c>
    </row>
    <row r="30" spans="1:5" ht="8" customHeight="1" x14ac:dyDescent="0.2"/>
    <row r="31" spans="1:5" ht="18" customHeight="1" x14ac:dyDescent="0.2">
      <c r="A31" s="136" t="s">
        <v>75</v>
      </c>
      <c r="B31" s="130"/>
      <c r="C31" s="130"/>
      <c r="D31" s="130"/>
      <c r="E31" s="130"/>
    </row>
    <row r="32" spans="1:5" ht="16" customHeight="1" x14ac:dyDescent="0.2">
      <c r="A32" s="8" t="s">
        <v>76</v>
      </c>
      <c r="B32" s="8" t="s">
        <v>39</v>
      </c>
      <c r="C32" s="8" t="s">
        <v>43</v>
      </c>
      <c r="D32" s="8" t="s">
        <v>47</v>
      </c>
    </row>
    <row r="33" spans="1:5" ht="17" customHeight="1" x14ac:dyDescent="0.2">
      <c r="A33" s="5" t="s">
        <v>41</v>
      </c>
      <c r="B33" s="12">
        <v>800</v>
      </c>
      <c r="C33" s="12">
        <v>600</v>
      </c>
      <c r="D33" s="12">
        <v>1200</v>
      </c>
    </row>
    <row r="34" spans="1:5" ht="17" customHeight="1" x14ac:dyDescent="0.2">
      <c r="A34" s="5" t="s">
        <v>45</v>
      </c>
      <c r="B34" s="12">
        <v>500</v>
      </c>
      <c r="C34" s="12">
        <v>380</v>
      </c>
      <c r="D34" s="12">
        <v>700</v>
      </c>
    </row>
    <row r="35" spans="1:5" ht="17" customHeight="1" x14ac:dyDescent="0.2">
      <c r="A35" s="5" t="s">
        <v>49</v>
      </c>
      <c r="B35" s="12">
        <v>300</v>
      </c>
      <c r="C35" s="12">
        <v>250</v>
      </c>
      <c r="D35" s="12">
        <v>500</v>
      </c>
    </row>
    <row r="36" spans="1:5" ht="17" customHeight="1" x14ac:dyDescent="0.2">
      <c r="A36" s="5" t="s">
        <v>51</v>
      </c>
      <c r="B36" s="12">
        <v>600</v>
      </c>
      <c r="C36" s="12">
        <v>450</v>
      </c>
      <c r="D36" s="12">
        <v>900</v>
      </c>
    </row>
    <row r="37" spans="1:5" ht="8" customHeight="1" x14ac:dyDescent="0.2"/>
    <row r="38" spans="1:5" ht="18" customHeight="1" x14ac:dyDescent="0.2">
      <c r="A38" s="136" t="s">
        <v>77</v>
      </c>
      <c r="B38" s="130"/>
      <c r="C38" s="130"/>
      <c r="D38" s="130"/>
      <c r="E38" s="130"/>
    </row>
    <row r="39" spans="1:5" ht="16" customHeight="1" x14ac:dyDescent="0.2">
      <c r="A39" s="8" t="s">
        <v>76</v>
      </c>
      <c r="B39" s="8" t="s">
        <v>78</v>
      </c>
      <c r="C39" s="8" t="s">
        <v>55</v>
      </c>
    </row>
    <row r="40" spans="1:5" ht="17" customHeight="1" x14ac:dyDescent="0.2">
      <c r="A40" s="5" t="s">
        <v>41</v>
      </c>
      <c r="B40" s="12">
        <v>380</v>
      </c>
      <c r="C40" s="4" t="s">
        <v>79</v>
      </c>
    </row>
    <row r="41" spans="1:5" ht="17" customHeight="1" x14ac:dyDescent="0.2">
      <c r="A41" s="5" t="s">
        <v>45</v>
      </c>
      <c r="B41" s="12">
        <v>300</v>
      </c>
    </row>
    <row r="42" spans="1:5" ht="17" customHeight="1" x14ac:dyDescent="0.2">
      <c r="A42" s="5" t="s">
        <v>49</v>
      </c>
      <c r="B42" s="12">
        <v>160</v>
      </c>
    </row>
    <row r="43" spans="1:5" ht="17" customHeight="1" x14ac:dyDescent="0.2">
      <c r="A43" s="5" t="s">
        <v>51</v>
      </c>
      <c r="B43" s="12">
        <v>130</v>
      </c>
      <c r="C43" s="4" t="s">
        <v>80</v>
      </c>
    </row>
    <row r="44" spans="1:5" ht="8" customHeight="1" x14ac:dyDescent="0.2"/>
    <row r="45" spans="1:5" ht="18" customHeight="1" x14ac:dyDescent="0.2">
      <c r="A45" s="136" t="s">
        <v>81</v>
      </c>
      <c r="B45" s="130"/>
      <c r="C45" s="130"/>
      <c r="D45" s="130"/>
      <c r="E45" s="130"/>
    </row>
    <row r="46" spans="1:5" x14ac:dyDescent="0.2">
      <c r="A46" s="8" t="s">
        <v>76</v>
      </c>
      <c r="B46" s="8" t="s">
        <v>82</v>
      </c>
    </row>
    <row r="47" spans="1:5" ht="17" customHeight="1" x14ac:dyDescent="0.2">
      <c r="A47" s="5" t="s">
        <v>41</v>
      </c>
      <c r="B47" s="22">
        <v>0.45</v>
      </c>
    </row>
    <row r="48" spans="1:5" ht="17" customHeight="1" x14ac:dyDescent="0.2">
      <c r="A48" s="5" t="s">
        <v>45</v>
      </c>
      <c r="B48" s="22">
        <v>0.48</v>
      </c>
    </row>
    <row r="49" spans="1:5" ht="17" customHeight="1" x14ac:dyDescent="0.2">
      <c r="A49" s="5" t="s">
        <v>49</v>
      </c>
      <c r="B49" s="22">
        <v>0.5</v>
      </c>
    </row>
    <row r="50" spans="1:5" ht="17" customHeight="1" x14ac:dyDescent="0.2">
      <c r="A50" s="5" t="s">
        <v>51</v>
      </c>
      <c r="B50" s="22">
        <v>0.35</v>
      </c>
    </row>
    <row r="51" spans="1:5" ht="8" customHeight="1" x14ac:dyDescent="0.2"/>
    <row r="52" spans="1:5" ht="18" customHeight="1" x14ac:dyDescent="0.2">
      <c r="A52" s="136" t="s">
        <v>83</v>
      </c>
      <c r="B52" s="130"/>
      <c r="C52" s="130"/>
      <c r="D52" s="130"/>
      <c r="E52" s="130"/>
    </row>
    <row r="53" spans="1:5" x14ac:dyDescent="0.2">
      <c r="A53" s="8" t="s">
        <v>84</v>
      </c>
      <c r="B53" s="8" t="s">
        <v>39</v>
      </c>
      <c r="C53" s="8" t="s">
        <v>43</v>
      </c>
      <c r="D53" s="8" t="s">
        <v>47</v>
      </c>
    </row>
    <row r="54" spans="1:5" ht="17" customHeight="1" x14ac:dyDescent="0.2">
      <c r="A54" s="5" t="s">
        <v>85</v>
      </c>
      <c r="B54" s="36">
        <v>180000</v>
      </c>
      <c r="C54" s="36">
        <v>120000</v>
      </c>
      <c r="D54" s="36">
        <v>15000</v>
      </c>
    </row>
    <row r="55" spans="1:5" ht="17" customHeight="1" x14ac:dyDescent="0.2">
      <c r="A55" s="5" t="s">
        <v>86</v>
      </c>
      <c r="B55" s="36">
        <v>150000</v>
      </c>
      <c r="C55" s="36">
        <v>100000</v>
      </c>
      <c r="D55" s="36">
        <v>45000</v>
      </c>
    </row>
    <row r="56" spans="1:5" ht="17" customHeight="1" x14ac:dyDescent="0.2">
      <c r="A56" s="5" t="s">
        <v>87</v>
      </c>
      <c r="B56" s="37">
        <v>0.03</v>
      </c>
      <c r="C56" s="37">
        <v>0.03</v>
      </c>
      <c r="D56" s="37">
        <v>0.02</v>
      </c>
    </row>
  </sheetData>
  <mergeCells count="10">
    <mergeCell ref="A38:E38"/>
    <mergeCell ref="A2:E2"/>
    <mergeCell ref="A15:E15"/>
    <mergeCell ref="A52:E52"/>
    <mergeCell ref="A1:E1"/>
    <mergeCell ref="A5:E5"/>
    <mergeCell ref="A45:E45"/>
    <mergeCell ref="A31:E31"/>
    <mergeCell ref="B7:D7"/>
    <mergeCell ref="A9:E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AD47"/>
  </sheetPr>
  <dimension ref="A1:O39"/>
  <sheetViews>
    <sheetView workbookViewId="0">
      <pane xSplit="2" ySplit="4" topLeftCell="C12" activePane="bottomRight" state="frozen"/>
      <selection pane="topRight"/>
      <selection pane="bottomLeft"/>
      <selection pane="bottomRight" activeCell="N39" sqref="N39"/>
    </sheetView>
  </sheetViews>
  <sheetFormatPr baseColWidth="10" defaultColWidth="8.83203125" defaultRowHeight="15" x14ac:dyDescent="0.2"/>
  <cols>
    <col min="1" max="1" width="20" customWidth="1"/>
    <col min="2" max="2" width="14" customWidth="1"/>
    <col min="3" max="15" width="12" customWidth="1"/>
  </cols>
  <sheetData>
    <row r="1" spans="1:15" ht="24" customHeight="1" x14ac:dyDescent="0.2">
      <c r="A1" s="141" t="s">
        <v>88</v>
      </c>
      <c r="B1" s="130"/>
      <c r="C1" s="130"/>
      <c r="D1" s="130"/>
      <c r="E1" s="130"/>
      <c r="F1" s="130"/>
      <c r="G1" s="130"/>
      <c r="H1" s="130"/>
      <c r="I1" s="130"/>
      <c r="J1" s="130"/>
      <c r="K1" s="130"/>
      <c r="L1" s="130"/>
      <c r="M1" s="130"/>
      <c r="N1" s="130"/>
      <c r="O1" s="130"/>
    </row>
    <row r="2" spans="1:15" ht="14" customHeight="1" x14ac:dyDescent="0.2">
      <c r="A2" s="137" t="s">
        <v>89</v>
      </c>
      <c r="B2" s="130"/>
      <c r="C2" s="130"/>
      <c r="D2" s="130"/>
      <c r="E2" s="130"/>
      <c r="F2" s="130"/>
      <c r="G2" s="130"/>
      <c r="H2" s="130"/>
      <c r="I2" s="130"/>
      <c r="J2" s="130"/>
      <c r="K2" s="130"/>
      <c r="L2" s="130"/>
      <c r="M2" s="130"/>
      <c r="N2" s="130"/>
      <c r="O2" s="130"/>
    </row>
    <row r="3" spans="1:15" ht="8" customHeight="1" x14ac:dyDescent="0.2"/>
    <row r="4" spans="1:15" ht="16" customHeight="1" x14ac:dyDescent="0.2">
      <c r="A4" s="10" t="s">
        <v>90</v>
      </c>
      <c r="B4" s="8" t="s">
        <v>91</v>
      </c>
      <c r="C4" s="8" t="s">
        <v>92</v>
      </c>
      <c r="D4" s="8" t="s">
        <v>93</v>
      </c>
      <c r="E4" s="8" t="s">
        <v>94</v>
      </c>
      <c r="F4" s="8" t="s">
        <v>95</v>
      </c>
      <c r="G4" s="8" t="s">
        <v>60</v>
      </c>
      <c r="H4" s="8" t="s">
        <v>96</v>
      </c>
      <c r="I4" s="8" t="s">
        <v>97</v>
      </c>
      <c r="J4" s="8" t="s">
        <v>98</v>
      </c>
      <c r="K4" s="8" t="s">
        <v>99</v>
      </c>
      <c r="L4" s="8" t="s">
        <v>100</v>
      </c>
      <c r="M4" s="8" t="s">
        <v>101</v>
      </c>
      <c r="N4" s="8" t="s">
        <v>102</v>
      </c>
      <c r="O4" s="8" t="s">
        <v>103</v>
      </c>
    </row>
    <row r="5" spans="1:15" ht="16" customHeight="1" x14ac:dyDescent="0.2">
      <c r="A5" s="10" t="s">
        <v>104</v>
      </c>
      <c r="B5" s="8"/>
      <c r="C5" s="21">
        <f t="array" ref="C5">INDEX(Assumptions!$B$17:$B$28,COLUMN()-2)</f>
        <v>1.05</v>
      </c>
      <c r="D5" s="21">
        <f t="array" ref="D5">INDEX(Assumptions!$B$17:$B$28,COLUMN()-2)</f>
        <v>1</v>
      </c>
      <c r="E5" s="21">
        <f t="array" ref="E5">INDEX(Assumptions!$B$17:$B$28,COLUMN()-2)</f>
        <v>1.2</v>
      </c>
      <c r="F5" s="21">
        <f t="array" ref="F5">INDEX(Assumptions!$B$17:$B$28,COLUMN()-2)</f>
        <v>0.9</v>
      </c>
      <c r="G5" s="21">
        <f t="array" ref="G5">INDEX(Assumptions!$B$17:$B$28,COLUMN()-2)</f>
        <v>1</v>
      </c>
      <c r="H5" s="21">
        <f t="array" ref="H5">INDEX(Assumptions!$B$17:$B$28,COLUMN()-2)</f>
        <v>0.85</v>
      </c>
      <c r="I5" s="21">
        <f t="array" ref="I5">INDEX(Assumptions!$B$17:$B$28,COLUMN()-2)</f>
        <v>0.8</v>
      </c>
      <c r="J5" s="21">
        <f t="array" ref="J5">INDEX(Assumptions!$B$17:$B$28,COLUMN()-2)</f>
        <v>0.85</v>
      </c>
      <c r="K5" s="21">
        <f t="array" ref="K5">INDEX(Assumptions!$B$17:$B$28,COLUMN()-2)</f>
        <v>1.05</v>
      </c>
      <c r="L5" s="21">
        <f t="array" ref="L5">INDEX(Assumptions!$B$17:$B$28,COLUMN()-2)</f>
        <v>1.05</v>
      </c>
      <c r="M5" s="21">
        <f t="array" ref="M5">INDEX(Assumptions!$B$17:$B$28,COLUMN()-2)</f>
        <v>1.1000000000000001</v>
      </c>
      <c r="N5" s="21">
        <f t="array" ref="N5">INDEX(Assumptions!$B$17:$B$28,COLUMN()-2)</f>
        <v>1.1499999999999999</v>
      </c>
      <c r="O5" s="21">
        <f>SUM(C5:N5)</f>
        <v>12</v>
      </c>
    </row>
    <row r="6" spans="1:15" ht="16" customHeight="1" x14ac:dyDescent="0.2">
      <c r="A6" s="140" t="s">
        <v>39</v>
      </c>
      <c r="B6" s="130"/>
      <c r="C6" s="130"/>
      <c r="D6" s="130"/>
      <c r="E6" s="130"/>
      <c r="F6" s="130"/>
      <c r="G6" s="130"/>
      <c r="H6" s="130"/>
      <c r="I6" s="130"/>
      <c r="J6" s="130"/>
      <c r="K6" s="130"/>
      <c r="L6" s="130"/>
      <c r="M6" s="130"/>
      <c r="N6" s="130"/>
      <c r="O6" s="130"/>
    </row>
    <row r="7" spans="1:15" ht="16" customHeight="1" x14ac:dyDescent="0.2">
      <c r="A7" s="5" t="s">
        <v>41</v>
      </c>
      <c r="B7" s="13" t="s">
        <v>105</v>
      </c>
      <c r="C7" s="14">
        <f>Assumptions!$B$33*'Revenue Build'!C$5</f>
        <v>840</v>
      </c>
      <c r="D7" s="14">
        <f>Assumptions!$B$33*'Revenue Build'!D5</f>
        <v>800</v>
      </c>
      <c r="E7" s="14">
        <f>Assumptions!$B$33*'Revenue Build'!E5</f>
        <v>960</v>
      </c>
      <c r="F7" s="14">
        <f>Assumptions!$B$33*'Revenue Build'!F5</f>
        <v>720</v>
      </c>
      <c r="G7" s="14">
        <f>Assumptions!$B$33*'Revenue Build'!G5</f>
        <v>800</v>
      </c>
      <c r="H7" s="14">
        <f>Assumptions!$B$33*'Revenue Build'!H5</f>
        <v>680</v>
      </c>
      <c r="I7" s="14">
        <f>Assumptions!$B$33*'Revenue Build'!I5</f>
        <v>640</v>
      </c>
      <c r="J7" s="14">
        <f>Assumptions!$B$33*'Revenue Build'!J5</f>
        <v>680</v>
      </c>
      <c r="K7" s="14">
        <f>Assumptions!$B$33*'Revenue Build'!K5</f>
        <v>840</v>
      </c>
      <c r="L7" s="14">
        <f>Assumptions!$B$33*'Revenue Build'!L5</f>
        <v>840</v>
      </c>
      <c r="M7" s="14">
        <f>Assumptions!$B$33*'Revenue Build'!M5</f>
        <v>880.00000000000011</v>
      </c>
      <c r="N7" s="14">
        <f>Assumptions!$B$33*'Revenue Build'!N5</f>
        <v>919.99999999999989</v>
      </c>
      <c r="O7" s="14">
        <f t="shared" ref="O7:O14" si="0">SUM(C7:N7)</f>
        <v>9600</v>
      </c>
    </row>
    <row r="8" spans="1:15" ht="16" customHeight="1" x14ac:dyDescent="0.2">
      <c r="A8" s="5"/>
      <c r="B8" s="13" t="s">
        <v>106</v>
      </c>
      <c r="C8" s="14">
        <f>Assumptions!$B$40*'Revenue Build'!C7</f>
        <v>319200</v>
      </c>
      <c r="D8" s="14">
        <f>Assumptions!$B$40*'Revenue Build'!D7</f>
        <v>304000</v>
      </c>
      <c r="E8" s="14">
        <f>Assumptions!$B$40*'Revenue Build'!E7</f>
        <v>364800</v>
      </c>
      <c r="F8" s="14">
        <f>Assumptions!$B$40*'Revenue Build'!F7</f>
        <v>273600</v>
      </c>
      <c r="G8" s="14">
        <f>Assumptions!$B$40*'Revenue Build'!G7</f>
        <v>304000</v>
      </c>
      <c r="H8" s="14">
        <f>Assumptions!$B$40*'Revenue Build'!H7</f>
        <v>258400</v>
      </c>
      <c r="I8" s="14">
        <f>Assumptions!$B$40*'Revenue Build'!I7</f>
        <v>243200</v>
      </c>
      <c r="J8" s="14">
        <f>Assumptions!$B$40*'Revenue Build'!J7</f>
        <v>258400</v>
      </c>
      <c r="K8" s="14">
        <f>Assumptions!$B$40*'Revenue Build'!K7</f>
        <v>319200</v>
      </c>
      <c r="L8" s="14">
        <f>Assumptions!$B$40*'Revenue Build'!L7</f>
        <v>319200</v>
      </c>
      <c r="M8" s="14">
        <f>Assumptions!$B$40*'Revenue Build'!M7</f>
        <v>334400.00000000006</v>
      </c>
      <c r="N8" s="14">
        <f>Assumptions!$B$40*'Revenue Build'!N7</f>
        <v>349599.99999999994</v>
      </c>
      <c r="O8" s="14">
        <f t="shared" si="0"/>
        <v>3648000</v>
      </c>
    </row>
    <row r="9" spans="1:15" ht="16" customHeight="1" x14ac:dyDescent="0.2">
      <c r="A9" s="5" t="s">
        <v>45</v>
      </c>
      <c r="B9" s="13" t="s">
        <v>105</v>
      </c>
      <c r="C9" s="14">
        <f>Assumptions!$B$34*'Revenue Build'!C$5</f>
        <v>525</v>
      </c>
      <c r="D9" s="14">
        <f>Assumptions!$B$34*'Revenue Build'!D$5</f>
        <v>500</v>
      </c>
      <c r="E9" s="14">
        <f>Assumptions!$B$34*'Revenue Build'!E$5</f>
        <v>600</v>
      </c>
      <c r="F9" s="14">
        <f>Assumptions!$B$34*'Revenue Build'!F$5</f>
        <v>450</v>
      </c>
      <c r="G9" s="14">
        <f>Assumptions!$B$34*'Revenue Build'!G$5</f>
        <v>500</v>
      </c>
      <c r="H9" s="14">
        <f>Assumptions!$B$34*'Revenue Build'!H$5</f>
        <v>425</v>
      </c>
      <c r="I9" s="14">
        <f>Assumptions!$B$34*'Revenue Build'!I$5</f>
        <v>400</v>
      </c>
      <c r="J9" s="14">
        <f>Assumptions!$B$34*'Revenue Build'!J$5</f>
        <v>425</v>
      </c>
      <c r="K9" s="14">
        <f>Assumptions!$B$34*'Revenue Build'!K$5</f>
        <v>525</v>
      </c>
      <c r="L9" s="14">
        <f>Assumptions!$B$34*'Revenue Build'!L$5</f>
        <v>525</v>
      </c>
      <c r="M9" s="14">
        <f>Assumptions!$B$34*'Revenue Build'!M$5</f>
        <v>550</v>
      </c>
      <c r="N9" s="14">
        <f>Assumptions!$B$34*'Revenue Build'!N$5</f>
        <v>575</v>
      </c>
      <c r="O9" s="14">
        <f t="shared" si="0"/>
        <v>6000</v>
      </c>
    </row>
    <row r="10" spans="1:15" ht="16" customHeight="1" x14ac:dyDescent="0.2">
      <c r="A10" s="5"/>
      <c r="B10" s="13" t="s">
        <v>106</v>
      </c>
      <c r="C10" s="14">
        <f>C9*Assumptions!$B$41</f>
        <v>157500</v>
      </c>
      <c r="D10" s="14">
        <f>D9*Assumptions!$B$41</f>
        <v>150000</v>
      </c>
      <c r="E10" s="14">
        <f>E9*Assumptions!$B$41</f>
        <v>180000</v>
      </c>
      <c r="F10" s="14">
        <f>F9*Assumptions!$B$41</f>
        <v>135000</v>
      </c>
      <c r="G10" s="14">
        <f>G9*Assumptions!$B$41</f>
        <v>150000</v>
      </c>
      <c r="H10" s="14">
        <f>H9*Assumptions!$B$41</f>
        <v>127500</v>
      </c>
      <c r="I10" s="14">
        <f>I9*Assumptions!$B$41</f>
        <v>120000</v>
      </c>
      <c r="J10" s="14">
        <f>J9*Assumptions!$B$41</f>
        <v>127500</v>
      </c>
      <c r="K10" s="14">
        <f>K9*Assumptions!$B$41</f>
        <v>157500</v>
      </c>
      <c r="L10" s="14">
        <f>L9*Assumptions!$B$41</f>
        <v>157500</v>
      </c>
      <c r="M10" s="14">
        <f>M9*Assumptions!$B$41</f>
        <v>165000</v>
      </c>
      <c r="N10" s="14">
        <f>N9*Assumptions!$B$41</f>
        <v>172500</v>
      </c>
      <c r="O10" s="14">
        <f t="shared" si="0"/>
        <v>1800000</v>
      </c>
    </row>
    <row r="11" spans="1:15" ht="16" customHeight="1" x14ac:dyDescent="0.2">
      <c r="A11" s="5" t="s">
        <v>49</v>
      </c>
      <c r="B11" s="13" t="s">
        <v>105</v>
      </c>
      <c r="C11" s="14">
        <f>Assumptions!$B$35*'Revenue Build'!C$5</f>
        <v>315</v>
      </c>
      <c r="D11" s="14">
        <f>Assumptions!$B$35*'Revenue Build'!D$5</f>
        <v>300</v>
      </c>
      <c r="E11" s="14">
        <f>Assumptions!$B$35*'Revenue Build'!E$5</f>
        <v>360</v>
      </c>
      <c r="F11" s="14">
        <f>Assumptions!$B$35*'Revenue Build'!F$5</f>
        <v>270</v>
      </c>
      <c r="G11" s="14">
        <f>Assumptions!$B$35*'Revenue Build'!G$5</f>
        <v>300</v>
      </c>
      <c r="H11" s="14">
        <f>Assumptions!$B$35*'Revenue Build'!H$5</f>
        <v>255</v>
      </c>
      <c r="I11" s="14">
        <f>Assumptions!$B$35*'Revenue Build'!I$5</f>
        <v>240</v>
      </c>
      <c r="J11" s="14">
        <f>Assumptions!$B$35*'Revenue Build'!J$5</f>
        <v>255</v>
      </c>
      <c r="K11" s="14">
        <f>Assumptions!$B$35*'Revenue Build'!K$5</f>
        <v>315</v>
      </c>
      <c r="L11" s="14">
        <f>Assumptions!$B$35*'Revenue Build'!L$5</f>
        <v>315</v>
      </c>
      <c r="M11" s="14">
        <f>Assumptions!$B$35*'Revenue Build'!M$5</f>
        <v>330</v>
      </c>
      <c r="N11" s="14">
        <f>Assumptions!$B$35*'Revenue Build'!N$5</f>
        <v>345</v>
      </c>
      <c r="O11" s="14">
        <f t="shared" si="0"/>
        <v>3600</v>
      </c>
    </row>
    <row r="12" spans="1:15" ht="16" customHeight="1" x14ac:dyDescent="0.2">
      <c r="A12" s="5"/>
      <c r="B12" s="13" t="s">
        <v>106</v>
      </c>
      <c r="C12" s="14">
        <f>C11*Assumptions!$B$42</f>
        <v>50400</v>
      </c>
      <c r="D12" s="14">
        <f>D11*Assumptions!$B$42</f>
        <v>48000</v>
      </c>
      <c r="E12" s="14">
        <f>E11*Assumptions!$B$42</f>
        <v>57600</v>
      </c>
      <c r="F12" s="14">
        <f>F11*Assumptions!$B$42</f>
        <v>43200</v>
      </c>
      <c r="G12" s="14">
        <f>G11*Assumptions!$B$42</f>
        <v>48000</v>
      </c>
      <c r="H12" s="14">
        <f>H11*Assumptions!$B$42</f>
        <v>40800</v>
      </c>
      <c r="I12" s="14">
        <f>I11*Assumptions!$B$42</f>
        <v>38400</v>
      </c>
      <c r="J12" s="14">
        <f>J11*Assumptions!$B$42</f>
        <v>40800</v>
      </c>
      <c r="K12" s="14">
        <f>K11*Assumptions!$B$42</f>
        <v>50400</v>
      </c>
      <c r="L12" s="14">
        <f>L11*Assumptions!$B$42</f>
        <v>50400</v>
      </c>
      <c r="M12" s="14">
        <f>M11*Assumptions!$B$42</f>
        <v>52800</v>
      </c>
      <c r="N12" s="14">
        <f>N11*Assumptions!$B$42</f>
        <v>55200</v>
      </c>
      <c r="O12" s="14">
        <f t="shared" si="0"/>
        <v>576000</v>
      </c>
    </row>
    <row r="13" spans="1:15" ht="16" customHeight="1" x14ac:dyDescent="0.2">
      <c r="A13" s="5" t="s">
        <v>51</v>
      </c>
      <c r="B13" s="13" t="s">
        <v>105</v>
      </c>
      <c r="C13" s="14">
        <f>Assumptions!$B$36*'Revenue Build'!C$5</f>
        <v>630</v>
      </c>
      <c r="D13" s="14">
        <f>Assumptions!$B$36*'Revenue Build'!D$5</f>
        <v>600</v>
      </c>
      <c r="E13" s="14">
        <f>Assumptions!$B$36*'Revenue Build'!E$5</f>
        <v>720</v>
      </c>
      <c r="F13" s="14">
        <f>Assumptions!$B$36*'Revenue Build'!F$5</f>
        <v>540</v>
      </c>
      <c r="G13" s="14">
        <f>Assumptions!$B$36*'Revenue Build'!G$5</f>
        <v>600</v>
      </c>
      <c r="H13" s="14">
        <f>Assumptions!$B$36*'Revenue Build'!H$5</f>
        <v>510</v>
      </c>
      <c r="I13" s="14">
        <f>Assumptions!$B$36*'Revenue Build'!I$5</f>
        <v>480</v>
      </c>
      <c r="J13" s="14">
        <f>Assumptions!$B$36*'Revenue Build'!J$5</f>
        <v>510</v>
      </c>
      <c r="K13" s="14">
        <f>Assumptions!$B$36*'Revenue Build'!K$5</f>
        <v>630</v>
      </c>
      <c r="L13" s="14">
        <f>Assumptions!$B$36*'Revenue Build'!L$5</f>
        <v>630</v>
      </c>
      <c r="M13" s="14">
        <f>Assumptions!$B$36*'Revenue Build'!M$5</f>
        <v>660</v>
      </c>
      <c r="N13" s="14">
        <f>Assumptions!$B$36*'Revenue Build'!N$5</f>
        <v>690</v>
      </c>
      <c r="O13" s="14">
        <f t="shared" si="0"/>
        <v>7200</v>
      </c>
    </row>
    <row r="14" spans="1:15" ht="16" customHeight="1" x14ac:dyDescent="0.2">
      <c r="A14" s="5"/>
      <c r="B14" s="13" t="s">
        <v>106</v>
      </c>
      <c r="C14" s="14">
        <f>C13*Assumptions!$B$43</f>
        <v>81900</v>
      </c>
      <c r="D14" s="14">
        <f>D13*Assumptions!$B$43</f>
        <v>78000</v>
      </c>
      <c r="E14" s="14">
        <f>E13*Assumptions!$B$43</f>
        <v>93600</v>
      </c>
      <c r="F14" s="14">
        <f>F13*Assumptions!$B$43</f>
        <v>70200</v>
      </c>
      <c r="G14" s="14">
        <f>G13*Assumptions!$B$43</f>
        <v>78000</v>
      </c>
      <c r="H14" s="14">
        <f>H13*Assumptions!$B$43</f>
        <v>66300</v>
      </c>
      <c r="I14" s="14">
        <f>I13*Assumptions!$B$43</f>
        <v>62400</v>
      </c>
      <c r="J14" s="14">
        <f>J13*Assumptions!$B$43</f>
        <v>66300</v>
      </c>
      <c r="K14" s="14">
        <f>K13*Assumptions!$B$43</f>
        <v>81900</v>
      </c>
      <c r="L14" s="14">
        <f>L13*Assumptions!$B$43</f>
        <v>81900</v>
      </c>
      <c r="M14" s="14">
        <f>M13*Assumptions!$B$43</f>
        <v>85800</v>
      </c>
      <c r="N14" s="14">
        <f>N13*Assumptions!$B$43</f>
        <v>89700</v>
      </c>
      <c r="O14" s="14">
        <f t="shared" si="0"/>
        <v>936000</v>
      </c>
    </row>
    <row r="15" spans="1:15" ht="16" customHeight="1" x14ac:dyDescent="0.2">
      <c r="A15" s="15" t="s">
        <v>107</v>
      </c>
      <c r="B15" s="16" t="s">
        <v>34</v>
      </c>
      <c r="C15" s="17">
        <f t="shared" ref="C15:O15" si="1">C8+C10+C12+C14</f>
        <v>609000</v>
      </c>
      <c r="D15" s="17">
        <f t="shared" si="1"/>
        <v>580000</v>
      </c>
      <c r="E15" s="17">
        <f t="shared" si="1"/>
        <v>696000</v>
      </c>
      <c r="F15" s="17">
        <f t="shared" si="1"/>
        <v>522000</v>
      </c>
      <c r="G15" s="17">
        <f t="shared" si="1"/>
        <v>580000</v>
      </c>
      <c r="H15" s="17">
        <f t="shared" si="1"/>
        <v>493000</v>
      </c>
      <c r="I15" s="17">
        <f t="shared" si="1"/>
        <v>464000</v>
      </c>
      <c r="J15" s="17">
        <f t="shared" si="1"/>
        <v>493000</v>
      </c>
      <c r="K15" s="17">
        <f t="shared" si="1"/>
        <v>609000</v>
      </c>
      <c r="L15" s="17">
        <f t="shared" si="1"/>
        <v>609000</v>
      </c>
      <c r="M15" s="17">
        <f t="shared" si="1"/>
        <v>638000</v>
      </c>
      <c r="N15" s="17">
        <f t="shared" si="1"/>
        <v>667000</v>
      </c>
      <c r="O15" s="17">
        <f t="shared" si="1"/>
        <v>6960000</v>
      </c>
    </row>
    <row r="17" spans="1:15" ht="16" customHeight="1" x14ac:dyDescent="0.2">
      <c r="A17" s="140" t="s">
        <v>43</v>
      </c>
      <c r="B17" s="130"/>
      <c r="C17" s="130"/>
      <c r="D17" s="130"/>
      <c r="E17" s="130"/>
      <c r="F17" s="130"/>
      <c r="G17" s="130"/>
      <c r="H17" s="130"/>
      <c r="I17" s="130"/>
      <c r="J17" s="130"/>
      <c r="K17" s="130"/>
      <c r="L17" s="130"/>
      <c r="M17" s="130"/>
      <c r="N17" s="130"/>
      <c r="O17" s="130"/>
    </row>
    <row r="18" spans="1:15" ht="16" customHeight="1" x14ac:dyDescent="0.2">
      <c r="A18" s="5" t="s">
        <v>41</v>
      </c>
      <c r="B18" s="13" t="s">
        <v>105</v>
      </c>
      <c r="C18" s="14">
        <f>Assumptions!$C$33*'Revenue Build'!C$5</f>
        <v>630</v>
      </c>
      <c r="D18" s="14">
        <f>Assumptions!$C$33*'Revenue Build'!D$5</f>
        <v>600</v>
      </c>
      <c r="E18" s="14">
        <f>Assumptions!$C$33*'Revenue Build'!E$5</f>
        <v>720</v>
      </c>
      <c r="F18" s="14">
        <f>Assumptions!$C$33*'Revenue Build'!F$5</f>
        <v>540</v>
      </c>
      <c r="G18" s="14">
        <f>Assumptions!$C$33*'Revenue Build'!G$5</f>
        <v>600</v>
      </c>
      <c r="H18" s="14">
        <f>Assumptions!$C$33*'Revenue Build'!H$5</f>
        <v>510</v>
      </c>
      <c r="I18" s="14">
        <f>Assumptions!$C$33*'Revenue Build'!I$5</f>
        <v>480</v>
      </c>
      <c r="J18" s="14">
        <f>Assumptions!$C$33*'Revenue Build'!J$5</f>
        <v>510</v>
      </c>
      <c r="K18" s="14">
        <f>Assumptions!$C$33*'Revenue Build'!K$5</f>
        <v>630</v>
      </c>
      <c r="L18" s="14">
        <f>Assumptions!$C$33*'Revenue Build'!L$5</f>
        <v>630</v>
      </c>
      <c r="M18" s="14">
        <f>Assumptions!$C$33*'Revenue Build'!M$5</f>
        <v>660</v>
      </c>
      <c r="N18" s="14">
        <f>Assumptions!$C$33*'Revenue Build'!N$5</f>
        <v>690</v>
      </c>
      <c r="O18" s="14">
        <f t="shared" ref="O18:O25" si="2">SUM(C18:N18)</f>
        <v>7200</v>
      </c>
    </row>
    <row r="19" spans="1:15" ht="16" customHeight="1" x14ac:dyDescent="0.2">
      <c r="A19" s="5"/>
      <c r="B19" s="13" t="s">
        <v>106</v>
      </c>
      <c r="C19" s="14">
        <f>Assumptions!$B$40*'Revenue Build'!C18</f>
        <v>239400</v>
      </c>
      <c r="D19" s="14">
        <f>Assumptions!$B$40*'Revenue Build'!D18</f>
        <v>228000</v>
      </c>
      <c r="E19" s="14">
        <f>Assumptions!$B$40*'Revenue Build'!E18</f>
        <v>273600</v>
      </c>
      <c r="F19" s="14">
        <f>Assumptions!$B$40*'Revenue Build'!F18</f>
        <v>205200</v>
      </c>
      <c r="G19" s="14">
        <f>Assumptions!$B$40*'Revenue Build'!G18</f>
        <v>228000</v>
      </c>
      <c r="H19" s="14">
        <f>Assumptions!$B$40*'Revenue Build'!H18</f>
        <v>193800</v>
      </c>
      <c r="I19" s="14">
        <f>Assumptions!$B$40*'Revenue Build'!I18</f>
        <v>182400</v>
      </c>
      <c r="J19" s="14">
        <f>Assumptions!$B$40*'Revenue Build'!J18</f>
        <v>193800</v>
      </c>
      <c r="K19" s="14">
        <f>Assumptions!$B$40*'Revenue Build'!K18</f>
        <v>239400</v>
      </c>
      <c r="L19" s="14">
        <f>Assumptions!$B$40*'Revenue Build'!L18</f>
        <v>239400</v>
      </c>
      <c r="M19" s="14">
        <f>Assumptions!$B$40*'Revenue Build'!M18</f>
        <v>250800</v>
      </c>
      <c r="N19" s="14">
        <f>Assumptions!$B$40*'Revenue Build'!N18</f>
        <v>262200</v>
      </c>
      <c r="O19" s="14">
        <f t="shared" si="2"/>
        <v>2736000</v>
      </c>
    </row>
    <row r="20" spans="1:15" ht="16" customHeight="1" x14ac:dyDescent="0.2">
      <c r="A20" s="5" t="s">
        <v>45</v>
      </c>
      <c r="B20" s="13" t="s">
        <v>105</v>
      </c>
      <c r="C20" s="14">
        <f>Assumptions!$C$34*'Revenue Build'!C$5</f>
        <v>399</v>
      </c>
      <c r="D20" s="14">
        <f>Assumptions!$C$34*'Revenue Build'!D$5</f>
        <v>380</v>
      </c>
      <c r="E20" s="14">
        <f>Assumptions!$C$34*'Revenue Build'!E$5</f>
        <v>456</v>
      </c>
      <c r="F20" s="14">
        <f>Assumptions!$C$34*'Revenue Build'!F$5</f>
        <v>342</v>
      </c>
      <c r="G20" s="14">
        <f>Assumptions!$C$34*'Revenue Build'!G$5</f>
        <v>380</v>
      </c>
      <c r="H20" s="14">
        <f>Assumptions!$C$34*'Revenue Build'!H$5</f>
        <v>323</v>
      </c>
      <c r="I20" s="14">
        <f>Assumptions!$C$34*'Revenue Build'!I$5</f>
        <v>304</v>
      </c>
      <c r="J20" s="14">
        <f>Assumptions!$C$34*'Revenue Build'!J$5</f>
        <v>323</v>
      </c>
      <c r="K20" s="14">
        <f>Assumptions!$C$34*'Revenue Build'!K$5</f>
        <v>399</v>
      </c>
      <c r="L20" s="14">
        <f>Assumptions!$C$34*'Revenue Build'!L$5</f>
        <v>399</v>
      </c>
      <c r="M20" s="14">
        <f>Assumptions!$C$34*'Revenue Build'!M$5</f>
        <v>418.00000000000006</v>
      </c>
      <c r="N20" s="14">
        <f>Assumptions!$C$34*'Revenue Build'!N$5</f>
        <v>436.99999999999994</v>
      </c>
      <c r="O20" s="14">
        <f t="shared" si="2"/>
        <v>4560</v>
      </c>
    </row>
    <row r="21" spans="1:15" ht="16" customHeight="1" x14ac:dyDescent="0.2">
      <c r="A21" s="5"/>
      <c r="B21" s="13" t="s">
        <v>106</v>
      </c>
      <c r="C21" s="14">
        <f>C20*Assumptions!$B$41</f>
        <v>119700</v>
      </c>
      <c r="D21" s="14">
        <f>D20*Assumptions!$B$41</f>
        <v>114000</v>
      </c>
      <c r="E21" s="14">
        <f>E20*Assumptions!$B$41</f>
        <v>136800</v>
      </c>
      <c r="F21" s="14">
        <f>F20*Assumptions!$B$41</f>
        <v>102600</v>
      </c>
      <c r="G21" s="14">
        <f>G20*Assumptions!$B$41</f>
        <v>114000</v>
      </c>
      <c r="H21" s="14">
        <f>H20*Assumptions!$B$41</f>
        <v>96900</v>
      </c>
      <c r="I21" s="14">
        <f>I20*Assumptions!$B$41</f>
        <v>91200</v>
      </c>
      <c r="J21" s="14">
        <f>J20*Assumptions!$B$41</f>
        <v>96900</v>
      </c>
      <c r="K21" s="14">
        <f>K20*Assumptions!$B$41</f>
        <v>119700</v>
      </c>
      <c r="L21" s="14">
        <f>L20*Assumptions!$B$41</f>
        <v>119700</v>
      </c>
      <c r="M21" s="14">
        <f>M20*Assumptions!$B$41</f>
        <v>125400.00000000001</v>
      </c>
      <c r="N21" s="14">
        <f>N20*Assumptions!$B$41</f>
        <v>131099.99999999997</v>
      </c>
      <c r="O21" s="14">
        <f t="shared" si="2"/>
        <v>1368000</v>
      </c>
    </row>
    <row r="22" spans="1:15" ht="16" customHeight="1" x14ac:dyDescent="0.2">
      <c r="A22" s="5" t="s">
        <v>49</v>
      </c>
      <c r="B22" s="13" t="s">
        <v>105</v>
      </c>
      <c r="C22" s="14">
        <f>Assumptions!$C$35*'Revenue Build'!C$5</f>
        <v>262.5</v>
      </c>
      <c r="D22" s="14">
        <f>Assumptions!$C$35*'Revenue Build'!D$5</f>
        <v>250</v>
      </c>
      <c r="E22" s="14">
        <f>Assumptions!$C$35*'Revenue Build'!E$5</f>
        <v>300</v>
      </c>
      <c r="F22" s="14">
        <f>Assumptions!$C$35*'Revenue Build'!F$5</f>
        <v>225</v>
      </c>
      <c r="G22" s="14">
        <f>Assumptions!$C$35*'Revenue Build'!G$5</f>
        <v>250</v>
      </c>
      <c r="H22" s="14">
        <f>Assumptions!$C$35*'Revenue Build'!H$5</f>
        <v>212.5</v>
      </c>
      <c r="I22" s="14">
        <f>Assumptions!$C$35*'Revenue Build'!I$5</f>
        <v>200</v>
      </c>
      <c r="J22" s="14">
        <f>Assumptions!$C$35*'Revenue Build'!J$5</f>
        <v>212.5</v>
      </c>
      <c r="K22" s="14">
        <f>Assumptions!$C$35*'Revenue Build'!K$5</f>
        <v>262.5</v>
      </c>
      <c r="L22" s="14">
        <f>Assumptions!$C$35*'Revenue Build'!L$5</f>
        <v>262.5</v>
      </c>
      <c r="M22" s="14">
        <f>Assumptions!$C$35*'Revenue Build'!M$5</f>
        <v>275</v>
      </c>
      <c r="N22" s="14">
        <f>Assumptions!$C$35*'Revenue Build'!N$5</f>
        <v>287.5</v>
      </c>
      <c r="O22" s="14">
        <f t="shared" si="2"/>
        <v>3000</v>
      </c>
    </row>
    <row r="23" spans="1:15" ht="16" customHeight="1" x14ac:dyDescent="0.2">
      <c r="A23" s="5"/>
      <c r="B23" s="13" t="s">
        <v>106</v>
      </c>
      <c r="C23" s="14">
        <f>C22*Assumptions!$B$42</f>
        <v>42000</v>
      </c>
      <c r="D23" s="14">
        <f>D22*Assumptions!$B$42</f>
        <v>40000</v>
      </c>
      <c r="E23" s="14">
        <f>E22*Assumptions!$B$42</f>
        <v>48000</v>
      </c>
      <c r="F23" s="14">
        <f>F22*Assumptions!$B$42</f>
        <v>36000</v>
      </c>
      <c r="G23" s="14">
        <f>G22*Assumptions!$B$42</f>
        <v>40000</v>
      </c>
      <c r="H23" s="14">
        <f>H22*Assumptions!$B$42</f>
        <v>34000</v>
      </c>
      <c r="I23" s="14">
        <f>I22*Assumptions!$B$42</f>
        <v>32000</v>
      </c>
      <c r="J23" s="14">
        <f>J22*Assumptions!$B$42</f>
        <v>34000</v>
      </c>
      <c r="K23" s="14">
        <f>K22*Assumptions!$B$42</f>
        <v>42000</v>
      </c>
      <c r="L23" s="14">
        <f>L22*Assumptions!$B$42</f>
        <v>42000</v>
      </c>
      <c r="M23" s="14">
        <f>M22*Assumptions!$B$42</f>
        <v>44000</v>
      </c>
      <c r="N23" s="14">
        <f>N22*Assumptions!$B$42</f>
        <v>46000</v>
      </c>
      <c r="O23" s="14">
        <f t="shared" si="2"/>
        <v>480000</v>
      </c>
    </row>
    <row r="24" spans="1:15" ht="16" customHeight="1" x14ac:dyDescent="0.2">
      <c r="A24" s="5" t="s">
        <v>51</v>
      </c>
      <c r="B24" s="13" t="s">
        <v>105</v>
      </c>
      <c r="C24" s="14">
        <f>Assumptions!$C$36*'Revenue Build'!C$5</f>
        <v>472.5</v>
      </c>
      <c r="D24" s="14">
        <f>Assumptions!$C$36*'Revenue Build'!D$5</f>
        <v>450</v>
      </c>
      <c r="E24" s="14">
        <f>Assumptions!$C$36*'Revenue Build'!E$5</f>
        <v>540</v>
      </c>
      <c r="F24" s="14">
        <f>Assumptions!$C$36*'Revenue Build'!F$5</f>
        <v>405</v>
      </c>
      <c r="G24" s="14">
        <f>Assumptions!$C$36*'Revenue Build'!G$5</f>
        <v>450</v>
      </c>
      <c r="H24" s="14">
        <f>Assumptions!$C$36*'Revenue Build'!H$5</f>
        <v>382.5</v>
      </c>
      <c r="I24" s="14">
        <f>Assumptions!$C$36*'Revenue Build'!I$5</f>
        <v>360</v>
      </c>
      <c r="J24" s="14">
        <f>Assumptions!$C$36*'Revenue Build'!J$5</f>
        <v>382.5</v>
      </c>
      <c r="K24" s="14">
        <f>Assumptions!$C$36*'Revenue Build'!K$5</f>
        <v>472.5</v>
      </c>
      <c r="L24" s="14">
        <f>Assumptions!$C$36*'Revenue Build'!L$5</f>
        <v>472.5</v>
      </c>
      <c r="M24" s="14">
        <f>Assumptions!$C$36*'Revenue Build'!M$5</f>
        <v>495.00000000000006</v>
      </c>
      <c r="N24" s="14">
        <f>Assumptions!$C$36*'Revenue Build'!N$5</f>
        <v>517.5</v>
      </c>
      <c r="O24" s="14">
        <f t="shared" si="2"/>
        <v>5400</v>
      </c>
    </row>
    <row r="25" spans="1:15" ht="16" customHeight="1" x14ac:dyDescent="0.2">
      <c r="A25" s="5"/>
      <c r="B25" s="13" t="s">
        <v>106</v>
      </c>
      <c r="C25" s="14">
        <f>C24*Assumptions!$B$43</f>
        <v>61425</v>
      </c>
      <c r="D25" s="14">
        <f>D24*Assumptions!$B$43</f>
        <v>58500</v>
      </c>
      <c r="E25" s="14">
        <f>E24*Assumptions!$B$43</f>
        <v>70200</v>
      </c>
      <c r="F25" s="14">
        <f>F24*Assumptions!$B$43</f>
        <v>52650</v>
      </c>
      <c r="G25" s="14">
        <f>G24*Assumptions!$B$43</f>
        <v>58500</v>
      </c>
      <c r="H25" s="14">
        <f>H24*Assumptions!$B$43</f>
        <v>49725</v>
      </c>
      <c r="I25" s="14">
        <f>I24*Assumptions!$B$43</f>
        <v>46800</v>
      </c>
      <c r="J25" s="14">
        <f>J24*Assumptions!$B$43</f>
        <v>49725</v>
      </c>
      <c r="K25" s="14">
        <f>K24*Assumptions!$B$43</f>
        <v>61425</v>
      </c>
      <c r="L25" s="14">
        <f>L24*Assumptions!$B$43</f>
        <v>61425</v>
      </c>
      <c r="M25" s="14">
        <f>M24*Assumptions!$B$43</f>
        <v>64350.000000000007</v>
      </c>
      <c r="N25" s="14">
        <f>N24*Assumptions!$B$43</f>
        <v>67275</v>
      </c>
      <c r="O25" s="14">
        <f t="shared" si="2"/>
        <v>702000</v>
      </c>
    </row>
    <row r="26" spans="1:15" ht="16" customHeight="1" x14ac:dyDescent="0.2">
      <c r="A26" s="15" t="s">
        <v>108</v>
      </c>
      <c r="B26" s="16" t="s">
        <v>34</v>
      </c>
      <c r="C26" s="17">
        <f t="shared" ref="C26:O26" si="3">C19+C21+C23+C25</f>
        <v>462525</v>
      </c>
      <c r="D26" s="17">
        <f t="shared" si="3"/>
        <v>440500</v>
      </c>
      <c r="E26" s="17">
        <f t="shared" si="3"/>
        <v>528600</v>
      </c>
      <c r="F26" s="17">
        <f t="shared" si="3"/>
        <v>396450</v>
      </c>
      <c r="G26" s="17">
        <f t="shared" si="3"/>
        <v>440500</v>
      </c>
      <c r="H26" s="17">
        <f t="shared" si="3"/>
        <v>374425</v>
      </c>
      <c r="I26" s="17">
        <f t="shared" si="3"/>
        <v>352400</v>
      </c>
      <c r="J26" s="17">
        <f t="shared" si="3"/>
        <v>374425</v>
      </c>
      <c r="K26" s="17">
        <f t="shared" si="3"/>
        <v>462525</v>
      </c>
      <c r="L26" s="17">
        <f t="shared" si="3"/>
        <v>462525</v>
      </c>
      <c r="M26" s="17">
        <f t="shared" si="3"/>
        <v>484550</v>
      </c>
      <c r="N26" s="17">
        <f t="shared" si="3"/>
        <v>506575</v>
      </c>
      <c r="O26" s="17">
        <f t="shared" si="3"/>
        <v>5286000</v>
      </c>
    </row>
    <row r="28" spans="1:15" ht="16" customHeight="1" x14ac:dyDescent="0.2">
      <c r="A28" s="140" t="s">
        <v>47</v>
      </c>
      <c r="B28" s="130"/>
      <c r="C28" s="130"/>
      <c r="D28" s="130"/>
      <c r="E28" s="130"/>
      <c r="F28" s="130"/>
      <c r="G28" s="130"/>
      <c r="H28" s="130"/>
      <c r="I28" s="130"/>
      <c r="J28" s="130"/>
      <c r="K28" s="130"/>
      <c r="L28" s="130"/>
      <c r="M28" s="130"/>
      <c r="N28" s="130"/>
      <c r="O28" s="130"/>
    </row>
    <row r="29" spans="1:15" ht="16" customHeight="1" x14ac:dyDescent="0.2">
      <c r="A29" s="5" t="s">
        <v>41</v>
      </c>
      <c r="B29" s="13" t="s">
        <v>105</v>
      </c>
      <c r="C29" s="14">
        <f>Assumptions!$D$33*'Revenue Build'!C$5</f>
        <v>1260</v>
      </c>
      <c r="D29" s="14">
        <f>Assumptions!$D$33*'Revenue Build'!D$5</f>
        <v>1200</v>
      </c>
      <c r="E29" s="14">
        <f>Assumptions!$D$33*'Revenue Build'!E$5</f>
        <v>1440</v>
      </c>
      <c r="F29" s="14">
        <f>Assumptions!$D$33*'Revenue Build'!F$5</f>
        <v>1080</v>
      </c>
      <c r="G29" s="14">
        <f>Assumptions!$D$33*'Revenue Build'!G$5</f>
        <v>1200</v>
      </c>
      <c r="H29" s="14">
        <f>Assumptions!$D$33*'Revenue Build'!H$5</f>
        <v>1020</v>
      </c>
      <c r="I29" s="14">
        <f>Assumptions!$D$33*'Revenue Build'!I$5</f>
        <v>960</v>
      </c>
      <c r="J29" s="14">
        <f>Assumptions!$D$33*'Revenue Build'!J$5</f>
        <v>1020</v>
      </c>
      <c r="K29" s="14">
        <f>Assumptions!$D$33*'Revenue Build'!K$5</f>
        <v>1260</v>
      </c>
      <c r="L29" s="14">
        <f>Assumptions!$D$33*'Revenue Build'!L$5</f>
        <v>1260</v>
      </c>
      <c r="M29" s="14">
        <f>Assumptions!$D$33*'Revenue Build'!M$5</f>
        <v>1320</v>
      </c>
      <c r="N29" s="14">
        <f>Assumptions!$D$33*'Revenue Build'!N$5</f>
        <v>1380</v>
      </c>
      <c r="O29" s="14">
        <f t="shared" ref="O29:O36" si="4">SUM(C29:N29)</f>
        <v>14400</v>
      </c>
    </row>
    <row r="30" spans="1:15" ht="16" customHeight="1" x14ac:dyDescent="0.2">
      <c r="A30" s="5"/>
      <c r="B30" s="13" t="s">
        <v>106</v>
      </c>
      <c r="C30" s="14">
        <f>Assumptions!$B$40*'Revenue Build'!C29</f>
        <v>478800</v>
      </c>
      <c r="D30" s="14">
        <f>Assumptions!$B$40*'Revenue Build'!D29</f>
        <v>456000</v>
      </c>
      <c r="E30" s="14">
        <f>Assumptions!$B$40*'Revenue Build'!E29</f>
        <v>547200</v>
      </c>
      <c r="F30" s="14">
        <f>Assumptions!$B$40*'Revenue Build'!F29</f>
        <v>410400</v>
      </c>
      <c r="G30" s="14">
        <f>Assumptions!$B$40*'Revenue Build'!G29</f>
        <v>456000</v>
      </c>
      <c r="H30" s="14">
        <f>Assumptions!$B$40*'Revenue Build'!H29</f>
        <v>387600</v>
      </c>
      <c r="I30" s="14">
        <f>Assumptions!$B$40*'Revenue Build'!I29</f>
        <v>364800</v>
      </c>
      <c r="J30" s="14">
        <f>Assumptions!$B$40*'Revenue Build'!J29</f>
        <v>387600</v>
      </c>
      <c r="K30" s="14">
        <f>Assumptions!$B$40*'Revenue Build'!K29</f>
        <v>478800</v>
      </c>
      <c r="L30" s="14">
        <f>Assumptions!$B$40*'Revenue Build'!L29</f>
        <v>478800</v>
      </c>
      <c r="M30" s="14">
        <f>Assumptions!$B$40*'Revenue Build'!M29</f>
        <v>501600</v>
      </c>
      <c r="N30" s="14">
        <f>Assumptions!$B$40*'Revenue Build'!N29</f>
        <v>524400</v>
      </c>
      <c r="O30" s="14">
        <f t="shared" si="4"/>
        <v>5472000</v>
      </c>
    </row>
    <row r="31" spans="1:15" ht="16" customHeight="1" x14ac:dyDescent="0.2">
      <c r="A31" s="5" t="s">
        <v>45</v>
      </c>
      <c r="B31" s="13" t="s">
        <v>105</v>
      </c>
      <c r="C31" s="14">
        <f>Assumptions!$D$34*'Revenue Build'!C$5</f>
        <v>735</v>
      </c>
      <c r="D31" s="14">
        <f>Assumptions!$D$34*'Revenue Build'!D$5</f>
        <v>700</v>
      </c>
      <c r="E31" s="14">
        <f>Assumptions!$D$34*'Revenue Build'!E$5</f>
        <v>840</v>
      </c>
      <c r="F31" s="14">
        <f>Assumptions!$D$34*'Revenue Build'!F$5</f>
        <v>630</v>
      </c>
      <c r="G31" s="14">
        <f>Assumptions!$D$34*'Revenue Build'!G$5</f>
        <v>700</v>
      </c>
      <c r="H31" s="14">
        <f>Assumptions!$D$34*'Revenue Build'!H$5</f>
        <v>595</v>
      </c>
      <c r="I31" s="14">
        <f>Assumptions!$D$34*'Revenue Build'!I$5</f>
        <v>560</v>
      </c>
      <c r="J31" s="14">
        <f>Assumptions!$D$34*'Revenue Build'!J$5</f>
        <v>595</v>
      </c>
      <c r="K31" s="14">
        <f>Assumptions!$D$34*'Revenue Build'!K$5</f>
        <v>735</v>
      </c>
      <c r="L31" s="14">
        <f>Assumptions!$D$34*'Revenue Build'!L$5</f>
        <v>735</v>
      </c>
      <c r="M31" s="14">
        <f>Assumptions!$D$34*'Revenue Build'!M$5</f>
        <v>770.00000000000011</v>
      </c>
      <c r="N31" s="14">
        <f>Assumptions!$D$34*'Revenue Build'!N$5</f>
        <v>804.99999999999989</v>
      </c>
      <c r="O31" s="14">
        <f t="shared" si="4"/>
        <v>8400</v>
      </c>
    </row>
    <row r="32" spans="1:15" ht="16" customHeight="1" x14ac:dyDescent="0.2">
      <c r="A32" s="5"/>
      <c r="B32" s="13" t="s">
        <v>106</v>
      </c>
      <c r="C32" s="14">
        <f>C31*Assumptions!$B$41</f>
        <v>220500</v>
      </c>
      <c r="D32" s="14">
        <f>D31*Assumptions!$B$41</f>
        <v>210000</v>
      </c>
      <c r="E32" s="14">
        <f>E31*Assumptions!$B$41</f>
        <v>252000</v>
      </c>
      <c r="F32" s="14">
        <f>F31*Assumptions!$B$41</f>
        <v>189000</v>
      </c>
      <c r="G32" s="14">
        <f>G31*Assumptions!$B$41</f>
        <v>210000</v>
      </c>
      <c r="H32" s="14">
        <f>H31*Assumptions!$B$41</f>
        <v>178500</v>
      </c>
      <c r="I32" s="14">
        <f>I31*Assumptions!$B$41</f>
        <v>168000</v>
      </c>
      <c r="J32" s="14">
        <f>J31*Assumptions!$B$41</f>
        <v>178500</v>
      </c>
      <c r="K32" s="14">
        <f>K31*Assumptions!$B$41</f>
        <v>220500</v>
      </c>
      <c r="L32" s="14">
        <f>L31*Assumptions!$B$41</f>
        <v>220500</v>
      </c>
      <c r="M32" s="14">
        <f>M31*Assumptions!$B$41</f>
        <v>231000.00000000003</v>
      </c>
      <c r="N32" s="14">
        <f>N31*Assumptions!$B$41</f>
        <v>241499.99999999997</v>
      </c>
      <c r="O32" s="14">
        <f t="shared" si="4"/>
        <v>2520000</v>
      </c>
    </row>
    <row r="33" spans="1:15" ht="16" customHeight="1" x14ac:dyDescent="0.2">
      <c r="A33" s="5" t="s">
        <v>49</v>
      </c>
      <c r="B33" s="13" t="s">
        <v>105</v>
      </c>
      <c r="C33" s="14">
        <f>Assumptions!$D$35*'Revenue Build'!C$5</f>
        <v>525</v>
      </c>
      <c r="D33" s="14">
        <f>Assumptions!$D$35*'Revenue Build'!D$5</f>
        <v>500</v>
      </c>
      <c r="E33" s="14">
        <f>Assumptions!$D$35*'Revenue Build'!E$5</f>
        <v>600</v>
      </c>
      <c r="F33" s="14">
        <f>Assumptions!$D$35*'Revenue Build'!F$5</f>
        <v>450</v>
      </c>
      <c r="G33" s="14">
        <f>Assumptions!$D$35*'Revenue Build'!G$5</f>
        <v>500</v>
      </c>
      <c r="H33" s="14">
        <f>Assumptions!$D$35*'Revenue Build'!H$5</f>
        <v>425</v>
      </c>
      <c r="I33" s="14">
        <f>Assumptions!$D$35*'Revenue Build'!I$5</f>
        <v>400</v>
      </c>
      <c r="J33" s="14">
        <f>Assumptions!$D$35*'Revenue Build'!J$5</f>
        <v>425</v>
      </c>
      <c r="K33" s="14">
        <f>Assumptions!$D$35*'Revenue Build'!K$5</f>
        <v>525</v>
      </c>
      <c r="L33" s="14">
        <f>Assumptions!$D$35*'Revenue Build'!L$5</f>
        <v>525</v>
      </c>
      <c r="M33" s="14">
        <f>Assumptions!$D$35*'Revenue Build'!M$5</f>
        <v>550</v>
      </c>
      <c r="N33" s="14">
        <f>Assumptions!$D$35*'Revenue Build'!N$5</f>
        <v>575</v>
      </c>
      <c r="O33" s="14">
        <f t="shared" si="4"/>
        <v>6000</v>
      </c>
    </row>
    <row r="34" spans="1:15" ht="16" customHeight="1" x14ac:dyDescent="0.2">
      <c r="A34" s="5"/>
      <c r="B34" s="13" t="s">
        <v>106</v>
      </c>
      <c r="C34" s="14">
        <f>C33*Assumptions!$B$42</f>
        <v>84000</v>
      </c>
      <c r="D34" s="14">
        <f>D33*Assumptions!$B$42</f>
        <v>80000</v>
      </c>
      <c r="E34" s="14">
        <f>E33*Assumptions!$B$42</f>
        <v>96000</v>
      </c>
      <c r="F34" s="14">
        <f>F33*Assumptions!$B$42</f>
        <v>72000</v>
      </c>
      <c r="G34" s="14">
        <f>G33*Assumptions!$B$42</f>
        <v>80000</v>
      </c>
      <c r="H34" s="14">
        <f>H33*Assumptions!$B$42</f>
        <v>68000</v>
      </c>
      <c r="I34" s="14">
        <f>I33*Assumptions!$B$42</f>
        <v>64000</v>
      </c>
      <c r="J34" s="14">
        <f>J33*Assumptions!$B$42</f>
        <v>68000</v>
      </c>
      <c r="K34" s="14">
        <f>K33*Assumptions!$B$42</f>
        <v>84000</v>
      </c>
      <c r="L34" s="14">
        <f>L33*Assumptions!$B$42</f>
        <v>84000</v>
      </c>
      <c r="M34" s="14">
        <f>M33*Assumptions!$B$42</f>
        <v>88000</v>
      </c>
      <c r="N34" s="14">
        <f>N33*Assumptions!$B$42</f>
        <v>92000</v>
      </c>
      <c r="O34" s="14">
        <f t="shared" si="4"/>
        <v>960000</v>
      </c>
    </row>
    <row r="35" spans="1:15" ht="16" customHeight="1" x14ac:dyDescent="0.2">
      <c r="A35" s="5" t="s">
        <v>51</v>
      </c>
      <c r="B35" s="13" t="s">
        <v>105</v>
      </c>
      <c r="C35" s="14">
        <f>Assumptions!$D$36*'Revenue Build'!C$5</f>
        <v>945</v>
      </c>
      <c r="D35" s="14">
        <f>Assumptions!$D$36*'Revenue Build'!D$5</f>
        <v>900</v>
      </c>
      <c r="E35" s="14">
        <f>Assumptions!$D$36*'Revenue Build'!E$5</f>
        <v>1080</v>
      </c>
      <c r="F35" s="14">
        <f>Assumptions!$D$36*'Revenue Build'!F$5</f>
        <v>810</v>
      </c>
      <c r="G35" s="14">
        <f>Assumptions!$D$36*'Revenue Build'!G$5</f>
        <v>900</v>
      </c>
      <c r="H35" s="14">
        <f>Assumptions!$D$36*'Revenue Build'!H$5</f>
        <v>765</v>
      </c>
      <c r="I35" s="14">
        <f>Assumptions!$D$36*'Revenue Build'!I$5</f>
        <v>720</v>
      </c>
      <c r="J35" s="14">
        <f>Assumptions!$D$36*'Revenue Build'!J$5</f>
        <v>765</v>
      </c>
      <c r="K35" s="14">
        <f>Assumptions!$D$36*'Revenue Build'!K$5</f>
        <v>945</v>
      </c>
      <c r="L35" s="14">
        <f>Assumptions!$D$36*'Revenue Build'!L$5</f>
        <v>945</v>
      </c>
      <c r="M35" s="14">
        <f>Assumptions!$D$36*'Revenue Build'!M$5</f>
        <v>990.00000000000011</v>
      </c>
      <c r="N35" s="14">
        <f>Assumptions!$D$36*'Revenue Build'!N$5</f>
        <v>1035</v>
      </c>
      <c r="O35" s="14">
        <f t="shared" si="4"/>
        <v>10800</v>
      </c>
    </row>
    <row r="36" spans="1:15" ht="16" customHeight="1" x14ac:dyDescent="0.2">
      <c r="A36" s="5"/>
      <c r="B36" s="13" t="s">
        <v>106</v>
      </c>
      <c r="C36" s="14">
        <f>C35*Assumptions!$B$43</f>
        <v>122850</v>
      </c>
      <c r="D36" s="14">
        <f>D35*Assumptions!$B$43</f>
        <v>117000</v>
      </c>
      <c r="E36" s="14">
        <f>E35*Assumptions!$B$43</f>
        <v>140400</v>
      </c>
      <c r="F36" s="14">
        <f>F35*Assumptions!$B$43</f>
        <v>105300</v>
      </c>
      <c r="G36" s="14">
        <f>G35*Assumptions!$B$43</f>
        <v>117000</v>
      </c>
      <c r="H36" s="14">
        <f>H35*Assumptions!$B$43</f>
        <v>99450</v>
      </c>
      <c r="I36" s="14">
        <f>I35*Assumptions!$B$43</f>
        <v>93600</v>
      </c>
      <c r="J36" s="14">
        <f>J35*Assumptions!$B$43</f>
        <v>99450</v>
      </c>
      <c r="K36" s="14">
        <f>K35*Assumptions!$B$43</f>
        <v>122850</v>
      </c>
      <c r="L36" s="14">
        <f>L35*Assumptions!$B$43</f>
        <v>122850</v>
      </c>
      <c r="M36" s="14">
        <f>M35*Assumptions!$B$43</f>
        <v>128700.00000000001</v>
      </c>
      <c r="N36" s="14">
        <f>N35*Assumptions!$B$43</f>
        <v>134550</v>
      </c>
      <c r="O36" s="14">
        <f t="shared" si="4"/>
        <v>1404000</v>
      </c>
    </row>
    <row r="37" spans="1:15" ht="16" customHeight="1" x14ac:dyDescent="0.2">
      <c r="A37" s="15" t="s">
        <v>109</v>
      </c>
      <c r="B37" s="16" t="s">
        <v>34</v>
      </c>
      <c r="C37" s="17">
        <f t="shared" ref="C37:O37" si="5">C30+C32+C34+C36</f>
        <v>906150</v>
      </c>
      <c r="D37" s="17">
        <f t="shared" si="5"/>
        <v>863000</v>
      </c>
      <c r="E37" s="17">
        <f t="shared" si="5"/>
        <v>1035600</v>
      </c>
      <c r="F37" s="17">
        <f t="shared" si="5"/>
        <v>776700</v>
      </c>
      <c r="G37" s="17">
        <f t="shared" si="5"/>
        <v>863000</v>
      </c>
      <c r="H37" s="17">
        <f t="shared" si="5"/>
        <v>733550</v>
      </c>
      <c r="I37" s="17">
        <f t="shared" si="5"/>
        <v>690400</v>
      </c>
      <c r="J37" s="17">
        <f t="shared" si="5"/>
        <v>733550</v>
      </c>
      <c r="K37" s="17">
        <f t="shared" si="5"/>
        <v>906150</v>
      </c>
      <c r="L37" s="17">
        <f t="shared" si="5"/>
        <v>906150</v>
      </c>
      <c r="M37" s="17">
        <f t="shared" si="5"/>
        <v>949300</v>
      </c>
      <c r="N37" s="17">
        <f t="shared" si="5"/>
        <v>992450</v>
      </c>
      <c r="O37" s="17">
        <f t="shared" si="5"/>
        <v>10356000</v>
      </c>
    </row>
    <row r="39" spans="1:15" ht="18" customHeight="1" x14ac:dyDescent="0.2">
      <c r="A39" s="18" t="s">
        <v>110</v>
      </c>
      <c r="B39" s="19" t="s">
        <v>34</v>
      </c>
      <c r="C39" s="20">
        <f t="shared" ref="C39:O39" si="6">C15+C26+C37</f>
        <v>1977675</v>
      </c>
      <c r="D39" s="20">
        <f t="shared" si="6"/>
        <v>1883500</v>
      </c>
      <c r="E39" s="20">
        <f t="shared" si="6"/>
        <v>2260200</v>
      </c>
      <c r="F39" s="20">
        <f t="shared" si="6"/>
        <v>1695150</v>
      </c>
      <c r="G39" s="20">
        <f t="shared" si="6"/>
        <v>1883500</v>
      </c>
      <c r="H39" s="20">
        <f t="shared" si="6"/>
        <v>1600975</v>
      </c>
      <c r="I39" s="20">
        <f t="shared" si="6"/>
        <v>1506800</v>
      </c>
      <c r="J39" s="20">
        <f t="shared" si="6"/>
        <v>1600975</v>
      </c>
      <c r="K39" s="20">
        <f t="shared" si="6"/>
        <v>1977675</v>
      </c>
      <c r="L39" s="20">
        <f t="shared" si="6"/>
        <v>1977675</v>
      </c>
      <c r="M39" s="20">
        <f t="shared" si="6"/>
        <v>2071850</v>
      </c>
      <c r="N39" s="20">
        <f t="shared" si="6"/>
        <v>2166025</v>
      </c>
      <c r="O39" s="20">
        <f t="shared" si="6"/>
        <v>22602000</v>
      </c>
    </row>
  </sheetData>
  <mergeCells count="5">
    <mergeCell ref="A2:O2"/>
    <mergeCell ref="A28:O28"/>
    <mergeCell ref="A1:O1"/>
    <mergeCell ref="A6:O6"/>
    <mergeCell ref="A17:O1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O26"/>
  <sheetViews>
    <sheetView workbookViewId="0">
      <pane xSplit="2" ySplit="4" topLeftCell="C5" activePane="bottomRight" state="frozen"/>
      <selection pane="topRight"/>
      <selection pane="bottomLeft"/>
      <selection pane="bottomRight" activeCell="L20" sqref="L20"/>
    </sheetView>
  </sheetViews>
  <sheetFormatPr baseColWidth="10" defaultColWidth="8.83203125" defaultRowHeight="15" x14ac:dyDescent="0.2"/>
  <cols>
    <col min="1" max="1" width="24" customWidth="1"/>
    <col min="2" max="2" width="10" customWidth="1"/>
    <col min="3" max="15" width="12" customWidth="1"/>
  </cols>
  <sheetData>
    <row r="1" spans="1:15" ht="24" customHeight="1" x14ac:dyDescent="0.2">
      <c r="A1" s="144" t="s">
        <v>111</v>
      </c>
      <c r="B1" s="130"/>
      <c r="C1" s="130"/>
      <c r="D1" s="130"/>
      <c r="E1" s="130"/>
      <c r="F1" s="130"/>
      <c r="G1" s="130"/>
      <c r="H1" s="130"/>
      <c r="I1" s="130"/>
      <c r="J1" s="130"/>
      <c r="K1" s="130"/>
      <c r="L1" s="130"/>
      <c r="M1" s="130"/>
      <c r="N1" s="130"/>
      <c r="O1" s="130"/>
    </row>
    <row r="2" spans="1:15" ht="14" customHeight="1" x14ac:dyDescent="0.2">
      <c r="A2" s="143" t="s">
        <v>112</v>
      </c>
      <c r="B2" s="130"/>
      <c r="C2" s="130"/>
      <c r="D2" s="130"/>
      <c r="E2" s="130"/>
      <c r="F2" s="130"/>
      <c r="G2" s="130"/>
      <c r="H2" s="130"/>
      <c r="I2" s="130"/>
      <c r="J2" s="130"/>
      <c r="K2" s="130"/>
      <c r="L2" s="130"/>
      <c r="M2" s="130"/>
      <c r="N2" s="130"/>
      <c r="O2" s="130"/>
    </row>
    <row r="3" spans="1:15" ht="8" customHeight="1" x14ac:dyDescent="0.2"/>
    <row r="4" spans="1:15" ht="16" customHeight="1" x14ac:dyDescent="0.2">
      <c r="A4" s="23" t="s">
        <v>90</v>
      </c>
      <c r="B4" s="24" t="s">
        <v>82</v>
      </c>
      <c r="C4" s="24" t="s">
        <v>92</v>
      </c>
      <c r="D4" s="24" t="s">
        <v>93</v>
      </c>
      <c r="E4" s="24" t="s">
        <v>94</v>
      </c>
      <c r="F4" s="24" t="s">
        <v>95</v>
      </c>
      <c r="G4" s="24" t="s">
        <v>60</v>
      </c>
      <c r="H4" s="24" t="s">
        <v>96</v>
      </c>
      <c r="I4" s="24" t="s">
        <v>97</v>
      </c>
      <c r="J4" s="24" t="s">
        <v>98</v>
      </c>
      <c r="K4" s="24" t="s">
        <v>99</v>
      </c>
      <c r="L4" s="24" t="s">
        <v>100</v>
      </c>
      <c r="M4" s="24" t="s">
        <v>101</v>
      </c>
      <c r="N4" s="24" t="s">
        <v>102</v>
      </c>
      <c r="O4" s="24" t="s">
        <v>103</v>
      </c>
    </row>
    <row r="5" spans="1:15" ht="16" customHeight="1" x14ac:dyDescent="0.2">
      <c r="A5" s="142" t="s">
        <v>39</v>
      </c>
      <c r="B5" s="130"/>
      <c r="C5" s="130"/>
      <c r="D5" s="130"/>
      <c r="E5" s="130"/>
      <c r="F5" s="130"/>
      <c r="G5" s="130"/>
      <c r="H5" s="130"/>
      <c r="I5" s="130"/>
      <c r="J5" s="130"/>
      <c r="K5" s="130"/>
      <c r="L5" s="130"/>
      <c r="M5" s="130"/>
      <c r="N5" s="130"/>
      <c r="O5" s="130"/>
    </row>
    <row r="6" spans="1:15" ht="16" customHeight="1" x14ac:dyDescent="0.2">
      <c r="A6" s="25" t="s">
        <v>41</v>
      </c>
      <c r="B6" s="26">
        <f>Assumptions!$B$47</f>
        <v>0.45</v>
      </c>
      <c r="C6" s="27">
        <f>'Revenue Build'!C8*$B6</f>
        <v>143640</v>
      </c>
      <c r="D6" s="27">
        <f>'Revenue Build'!D8*$B6</f>
        <v>136800</v>
      </c>
      <c r="E6" s="27">
        <f>'Revenue Build'!E8*$B6</f>
        <v>164160</v>
      </c>
      <c r="F6" s="27">
        <f>'Revenue Build'!F8*$B6</f>
        <v>123120</v>
      </c>
      <c r="G6" s="27">
        <f>'Revenue Build'!G8*$B6</f>
        <v>136800</v>
      </c>
      <c r="H6" s="27">
        <f>'Revenue Build'!H8*$B6</f>
        <v>116280</v>
      </c>
      <c r="I6" s="27">
        <f>'Revenue Build'!I8*$B6</f>
        <v>109440</v>
      </c>
      <c r="J6" s="27">
        <f>'Revenue Build'!J8*$B6</f>
        <v>116280</v>
      </c>
      <c r="K6" s="27">
        <f>'Revenue Build'!K8*$B6</f>
        <v>143640</v>
      </c>
      <c r="L6" s="27">
        <f>'Revenue Build'!L8*$B6</f>
        <v>143640</v>
      </c>
      <c r="M6" s="27">
        <f>'Revenue Build'!M8*$B6</f>
        <v>150480.00000000003</v>
      </c>
      <c r="N6" s="27">
        <f>'Revenue Build'!N8*$B6</f>
        <v>157319.99999999997</v>
      </c>
      <c r="O6" s="28">
        <f>SUM(C6:N6)</f>
        <v>1641600</v>
      </c>
    </row>
    <row r="7" spans="1:15" ht="16" customHeight="1" x14ac:dyDescent="0.2">
      <c r="A7" s="25" t="s">
        <v>45</v>
      </c>
      <c r="B7" s="26">
        <f>Assumptions!$B$48</f>
        <v>0.48</v>
      </c>
      <c r="C7" s="27">
        <f>'Revenue Build'!C10*$B7</f>
        <v>75600</v>
      </c>
      <c r="D7" s="27">
        <f>'Revenue Build'!D10*$B7</f>
        <v>72000</v>
      </c>
      <c r="E7" s="27">
        <f>'Revenue Build'!E10*$B7</f>
        <v>86400</v>
      </c>
      <c r="F7" s="27">
        <f>'Revenue Build'!F10*$B7</f>
        <v>64800</v>
      </c>
      <c r="G7" s="27">
        <f>'Revenue Build'!G10*$B7</f>
        <v>72000</v>
      </c>
      <c r="H7" s="27">
        <f>'Revenue Build'!H10*$B7</f>
        <v>61200</v>
      </c>
      <c r="I7" s="27">
        <f>'Revenue Build'!I10*$B7</f>
        <v>57600</v>
      </c>
      <c r="J7" s="27">
        <f>'Revenue Build'!J10*$B7</f>
        <v>61200</v>
      </c>
      <c r="K7" s="27">
        <f>'Revenue Build'!K10*$B7</f>
        <v>75600</v>
      </c>
      <c r="L7" s="27">
        <f>'Revenue Build'!L10*$B7</f>
        <v>75600</v>
      </c>
      <c r="M7" s="27">
        <f>'Revenue Build'!M10*$B7</f>
        <v>79200</v>
      </c>
      <c r="N7" s="27">
        <f>'Revenue Build'!N10*$B7</f>
        <v>82800</v>
      </c>
      <c r="O7" s="28">
        <f>SUM(C7:N7)</f>
        <v>864000</v>
      </c>
    </row>
    <row r="8" spans="1:15" ht="16" customHeight="1" x14ac:dyDescent="0.2">
      <c r="A8" s="25" t="s">
        <v>49</v>
      </c>
      <c r="B8" s="26">
        <f>Assumptions!$B$49</f>
        <v>0.5</v>
      </c>
      <c r="C8" s="27">
        <f>'Revenue Build'!C12*$B8</f>
        <v>25200</v>
      </c>
      <c r="D8" s="27">
        <f>'Revenue Build'!D12*$B8</f>
        <v>24000</v>
      </c>
      <c r="E8" s="27">
        <f>'Revenue Build'!E12*$B8</f>
        <v>28800</v>
      </c>
      <c r="F8" s="27">
        <f>'Revenue Build'!F12*$B8</f>
        <v>21600</v>
      </c>
      <c r="G8" s="27">
        <f>'Revenue Build'!G12*$B8</f>
        <v>24000</v>
      </c>
      <c r="H8" s="27">
        <f>'Revenue Build'!H12*$B8</f>
        <v>20400</v>
      </c>
      <c r="I8" s="27">
        <f>'Revenue Build'!I12*$B8</f>
        <v>19200</v>
      </c>
      <c r="J8" s="27">
        <f>'Revenue Build'!J12*$B8</f>
        <v>20400</v>
      </c>
      <c r="K8" s="27">
        <f>'Revenue Build'!K12*$B8</f>
        <v>25200</v>
      </c>
      <c r="L8" s="27">
        <f>'Revenue Build'!L12*$B8</f>
        <v>25200</v>
      </c>
      <c r="M8" s="27">
        <f>'Revenue Build'!M12*$B8</f>
        <v>26400</v>
      </c>
      <c r="N8" s="27">
        <f>'Revenue Build'!N12*$B8</f>
        <v>27600</v>
      </c>
      <c r="O8" s="28">
        <f>SUM(C8:N8)</f>
        <v>288000</v>
      </c>
    </row>
    <row r="9" spans="1:15" ht="16" customHeight="1" x14ac:dyDescent="0.2">
      <c r="A9" s="25" t="s">
        <v>51</v>
      </c>
      <c r="B9" s="26">
        <f>Assumptions!$B$50</f>
        <v>0.35</v>
      </c>
      <c r="C9" s="27">
        <f>'Revenue Build'!C14*$B9</f>
        <v>28665</v>
      </c>
      <c r="D9" s="27">
        <f>'Revenue Build'!D14*$B9</f>
        <v>27300</v>
      </c>
      <c r="E9" s="27">
        <f>'Revenue Build'!E14*$B9</f>
        <v>32759.999999999996</v>
      </c>
      <c r="F9" s="27">
        <f>'Revenue Build'!F14*$B9</f>
        <v>24570</v>
      </c>
      <c r="G9" s="27">
        <f>'Revenue Build'!G14*$B9</f>
        <v>27300</v>
      </c>
      <c r="H9" s="27">
        <f>'Revenue Build'!H14*$B9</f>
        <v>23205</v>
      </c>
      <c r="I9" s="27">
        <f>'Revenue Build'!I14*$B9</f>
        <v>21840</v>
      </c>
      <c r="J9" s="27">
        <f>'Revenue Build'!J14*$B9</f>
        <v>23205</v>
      </c>
      <c r="K9" s="27">
        <f>'Revenue Build'!K14*$B9</f>
        <v>28665</v>
      </c>
      <c r="L9" s="27">
        <f>'Revenue Build'!L14*$B9</f>
        <v>28665</v>
      </c>
      <c r="M9" s="27">
        <f>'Revenue Build'!M14*$B9</f>
        <v>30029.999999999996</v>
      </c>
      <c r="N9" s="27">
        <f>'Revenue Build'!N14*$B9</f>
        <v>31394.999999999996</v>
      </c>
      <c r="O9" s="28">
        <f>SUM(C9:N9)</f>
        <v>327600</v>
      </c>
    </row>
    <row r="10" spans="1:15" ht="16" customHeight="1" x14ac:dyDescent="0.2">
      <c r="A10" s="29" t="s">
        <v>113</v>
      </c>
      <c r="B10" s="35"/>
      <c r="C10" s="31">
        <f t="shared" ref="C10:O10" si="0">SUM(C6:C9)</f>
        <v>273105</v>
      </c>
      <c r="D10" s="31">
        <f t="shared" si="0"/>
        <v>260100</v>
      </c>
      <c r="E10" s="31">
        <f t="shared" si="0"/>
        <v>312120</v>
      </c>
      <c r="F10" s="31">
        <f t="shared" si="0"/>
        <v>234090</v>
      </c>
      <c r="G10" s="31">
        <f t="shared" si="0"/>
        <v>260100</v>
      </c>
      <c r="H10" s="31">
        <f t="shared" si="0"/>
        <v>221085</v>
      </c>
      <c r="I10" s="31">
        <f t="shared" si="0"/>
        <v>208080</v>
      </c>
      <c r="J10" s="31">
        <f t="shared" si="0"/>
        <v>221085</v>
      </c>
      <c r="K10" s="31">
        <f t="shared" si="0"/>
        <v>273105</v>
      </c>
      <c r="L10" s="31">
        <f t="shared" si="0"/>
        <v>273105</v>
      </c>
      <c r="M10" s="31">
        <f t="shared" si="0"/>
        <v>286110</v>
      </c>
      <c r="N10" s="31">
        <f t="shared" si="0"/>
        <v>299115</v>
      </c>
      <c r="O10" s="31">
        <f t="shared" si="0"/>
        <v>3121200</v>
      </c>
    </row>
    <row r="11" spans="1:15" ht="8" customHeight="1" x14ac:dyDescent="0.2"/>
    <row r="12" spans="1:15" ht="16" customHeight="1" x14ac:dyDescent="0.2">
      <c r="A12" s="142" t="s">
        <v>43</v>
      </c>
      <c r="B12" s="130"/>
      <c r="C12" s="130"/>
      <c r="D12" s="130"/>
      <c r="E12" s="130"/>
      <c r="F12" s="130"/>
      <c r="G12" s="130"/>
      <c r="H12" s="130"/>
      <c r="I12" s="130"/>
      <c r="J12" s="130"/>
      <c r="K12" s="130"/>
      <c r="L12" s="130"/>
      <c r="M12" s="130"/>
      <c r="N12" s="130"/>
      <c r="O12" s="130"/>
    </row>
    <row r="13" spans="1:15" ht="16" customHeight="1" x14ac:dyDescent="0.2">
      <c r="A13" s="25" t="s">
        <v>41</v>
      </c>
      <c r="B13" s="26">
        <f>Assumptions!$B$47</f>
        <v>0.45</v>
      </c>
      <c r="C13" s="27">
        <f>'Revenue Build'!C19*$B13</f>
        <v>107730</v>
      </c>
      <c r="D13" s="27">
        <f>'Revenue Build'!D19*$B13</f>
        <v>102600</v>
      </c>
      <c r="E13" s="27">
        <f>'Revenue Build'!E19*$B13</f>
        <v>123120</v>
      </c>
      <c r="F13" s="27">
        <f>'Revenue Build'!F19*$B13</f>
        <v>92340</v>
      </c>
      <c r="G13" s="27">
        <f>'Revenue Build'!G19*$B13</f>
        <v>102600</v>
      </c>
      <c r="H13" s="27">
        <f>'Revenue Build'!H19*$B13</f>
        <v>87210</v>
      </c>
      <c r="I13" s="27">
        <f>'Revenue Build'!I19*$B13</f>
        <v>82080</v>
      </c>
      <c r="J13" s="27">
        <f>'Revenue Build'!J19*$B13</f>
        <v>87210</v>
      </c>
      <c r="K13" s="27">
        <f>'Revenue Build'!K19*$B13</f>
        <v>107730</v>
      </c>
      <c r="L13" s="27">
        <f>'Revenue Build'!L19*$B13</f>
        <v>107730</v>
      </c>
      <c r="M13" s="27">
        <f>'Revenue Build'!M19*$B13</f>
        <v>112860</v>
      </c>
      <c r="N13" s="27">
        <f>'Revenue Build'!N19*$B13</f>
        <v>117990</v>
      </c>
      <c r="O13" s="28">
        <f>SUM(C13:N13)</f>
        <v>1231200</v>
      </c>
    </row>
    <row r="14" spans="1:15" ht="16" customHeight="1" x14ac:dyDescent="0.2">
      <c r="A14" s="25" t="s">
        <v>45</v>
      </c>
      <c r="B14" s="26">
        <f>Assumptions!$B$48</f>
        <v>0.48</v>
      </c>
      <c r="C14" s="27">
        <f>'Revenue Build'!C21*$B14</f>
        <v>57456</v>
      </c>
      <c r="D14" s="27">
        <f>'Revenue Build'!D21*$B14</f>
        <v>54720</v>
      </c>
      <c r="E14" s="27">
        <f>'Revenue Build'!E21*$B14</f>
        <v>65664</v>
      </c>
      <c r="F14" s="27">
        <f>'Revenue Build'!F21*$B14</f>
        <v>49248</v>
      </c>
      <c r="G14" s="27">
        <f>'Revenue Build'!G21*$B14</f>
        <v>54720</v>
      </c>
      <c r="H14" s="27">
        <f>'Revenue Build'!H21*$B14</f>
        <v>46512</v>
      </c>
      <c r="I14" s="27">
        <f>'Revenue Build'!I21*$B14</f>
        <v>43776</v>
      </c>
      <c r="J14" s="27">
        <f>'Revenue Build'!J21*$B14</f>
        <v>46512</v>
      </c>
      <c r="K14" s="27">
        <f>'Revenue Build'!K21*$B14</f>
        <v>57456</v>
      </c>
      <c r="L14" s="27">
        <f>'Revenue Build'!L21*$B14</f>
        <v>57456</v>
      </c>
      <c r="M14" s="27">
        <f>'Revenue Build'!M21*$B14</f>
        <v>60192.000000000007</v>
      </c>
      <c r="N14" s="27">
        <f>'Revenue Build'!N21*$B14</f>
        <v>62927.999999999985</v>
      </c>
      <c r="O14" s="28">
        <f>SUM(C14:N14)</f>
        <v>656640</v>
      </c>
    </row>
    <row r="15" spans="1:15" ht="16" customHeight="1" x14ac:dyDescent="0.2">
      <c r="A15" s="25" t="s">
        <v>49</v>
      </c>
      <c r="B15" s="26">
        <f>Assumptions!$B$49</f>
        <v>0.5</v>
      </c>
      <c r="C15" s="27">
        <f>'Revenue Build'!C23*$B15</f>
        <v>21000</v>
      </c>
      <c r="D15" s="27">
        <f>'Revenue Build'!D23*$B15</f>
        <v>20000</v>
      </c>
      <c r="E15" s="27">
        <f>'Revenue Build'!E23*$B15</f>
        <v>24000</v>
      </c>
      <c r="F15" s="27">
        <f>'Revenue Build'!F23*$B15</f>
        <v>18000</v>
      </c>
      <c r="G15" s="27">
        <f>'Revenue Build'!G23*$B15</f>
        <v>20000</v>
      </c>
      <c r="H15" s="27">
        <f>'Revenue Build'!H23*$B15</f>
        <v>17000</v>
      </c>
      <c r="I15" s="27">
        <f>'Revenue Build'!I23*$B15</f>
        <v>16000</v>
      </c>
      <c r="J15" s="27">
        <f>'Revenue Build'!J23*$B15</f>
        <v>17000</v>
      </c>
      <c r="K15" s="27">
        <f>'Revenue Build'!K23*$B15</f>
        <v>21000</v>
      </c>
      <c r="L15" s="27">
        <f>'Revenue Build'!L23*$B15</f>
        <v>21000</v>
      </c>
      <c r="M15" s="27">
        <f>'Revenue Build'!M23*$B15</f>
        <v>22000</v>
      </c>
      <c r="N15" s="27">
        <f>'Revenue Build'!N23*$B15</f>
        <v>23000</v>
      </c>
      <c r="O15" s="28">
        <f>SUM(C15:N15)</f>
        <v>240000</v>
      </c>
    </row>
    <row r="16" spans="1:15" ht="16" customHeight="1" x14ac:dyDescent="0.2">
      <c r="A16" s="25" t="s">
        <v>51</v>
      </c>
      <c r="B16" s="26">
        <f>Assumptions!$B$50</f>
        <v>0.35</v>
      </c>
      <c r="C16" s="27">
        <f>'Revenue Build'!C25*$B16</f>
        <v>21498.75</v>
      </c>
      <c r="D16" s="27">
        <f>'Revenue Build'!D25*$B16</f>
        <v>20475</v>
      </c>
      <c r="E16" s="27">
        <f>'Revenue Build'!E25*$B16</f>
        <v>24570</v>
      </c>
      <c r="F16" s="27">
        <f>'Revenue Build'!F25*$B16</f>
        <v>18427.5</v>
      </c>
      <c r="G16" s="27">
        <f>'Revenue Build'!G25*$B16</f>
        <v>20475</v>
      </c>
      <c r="H16" s="27">
        <f>'Revenue Build'!H25*$B16</f>
        <v>17403.75</v>
      </c>
      <c r="I16" s="27">
        <f>'Revenue Build'!I25*$B16</f>
        <v>16379.999999999998</v>
      </c>
      <c r="J16" s="27">
        <f>'Revenue Build'!J25*$B16</f>
        <v>17403.75</v>
      </c>
      <c r="K16" s="27">
        <f>'Revenue Build'!K25*$B16</f>
        <v>21498.75</v>
      </c>
      <c r="L16" s="27">
        <f>'Revenue Build'!L25*$B16</f>
        <v>21498.75</v>
      </c>
      <c r="M16" s="27">
        <f>'Revenue Build'!M25*$B16</f>
        <v>22522.5</v>
      </c>
      <c r="N16" s="27">
        <f>'Revenue Build'!N25*$B16</f>
        <v>23546.25</v>
      </c>
      <c r="O16" s="28">
        <f>SUM(C16:N16)</f>
        <v>245700</v>
      </c>
    </row>
    <row r="17" spans="1:15" ht="16" customHeight="1" x14ac:dyDescent="0.2">
      <c r="A17" s="29" t="s">
        <v>114</v>
      </c>
      <c r="B17" s="30"/>
      <c r="C17" s="31">
        <f t="shared" ref="C17:O17" si="1">SUM(C13:C16)</f>
        <v>207684.75</v>
      </c>
      <c r="D17" s="31">
        <f t="shared" si="1"/>
        <v>197795</v>
      </c>
      <c r="E17" s="31">
        <f t="shared" si="1"/>
        <v>237354</v>
      </c>
      <c r="F17" s="31">
        <f t="shared" si="1"/>
        <v>178015.5</v>
      </c>
      <c r="G17" s="31">
        <f t="shared" si="1"/>
        <v>197795</v>
      </c>
      <c r="H17" s="31">
        <f t="shared" si="1"/>
        <v>168125.75</v>
      </c>
      <c r="I17" s="31">
        <f t="shared" si="1"/>
        <v>158236</v>
      </c>
      <c r="J17" s="31">
        <f t="shared" si="1"/>
        <v>168125.75</v>
      </c>
      <c r="K17" s="31">
        <f t="shared" si="1"/>
        <v>207684.75</v>
      </c>
      <c r="L17" s="31">
        <f t="shared" si="1"/>
        <v>207684.75</v>
      </c>
      <c r="M17" s="31">
        <f t="shared" si="1"/>
        <v>217574.5</v>
      </c>
      <c r="N17" s="31">
        <f t="shared" si="1"/>
        <v>227464.25</v>
      </c>
      <c r="O17" s="31">
        <f t="shared" si="1"/>
        <v>2373540</v>
      </c>
    </row>
    <row r="18" spans="1:15" ht="8" customHeight="1" x14ac:dyDescent="0.2"/>
    <row r="19" spans="1:15" ht="16" customHeight="1" x14ac:dyDescent="0.2">
      <c r="A19" s="142" t="s">
        <v>47</v>
      </c>
      <c r="B19" s="130"/>
      <c r="C19" s="130"/>
      <c r="D19" s="130"/>
      <c r="E19" s="130"/>
      <c r="F19" s="130"/>
      <c r="G19" s="130"/>
      <c r="H19" s="130"/>
      <c r="I19" s="130"/>
      <c r="J19" s="130"/>
      <c r="K19" s="130"/>
      <c r="L19" s="130"/>
      <c r="M19" s="130"/>
      <c r="N19" s="130"/>
      <c r="O19" s="130"/>
    </row>
    <row r="20" spans="1:15" ht="16" customHeight="1" x14ac:dyDescent="0.2">
      <c r="A20" s="25" t="s">
        <v>41</v>
      </c>
      <c r="B20" s="26">
        <f>Assumptions!$B$47</f>
        <v>0.45</v>
      </c>
      <c r="C20" s="27">
        <f>'Revenue Build'!C30*$B20</f>
        <v>215460</v>
      </c>
      <c r="D20" s="27">
        <f>'Revenue Build'!D30*$B20</f>
        <v>205200</v>
      </c>
      <c r="E20" s="27">
        <f>'Revenue Build'!E30*$B20</f>
        <v>246240</v>
      </c>
      <c r="F20" s="27">
        <f>'Revenue Build'!F30*$B20</f>
        <v>184680</v>
      </c>
      <c r="G20" s="27">
        <f>'Revenue Build'!G30*$B20</f>
        <v>205200</v>
      </c>
      <c r="H20" s="27">
        <f>'Revenue Build'!H30*$B20</f>
        <v>174420</v>
      </c>
      <c r="I20" s="27">
        <f>'Revenue Build'!I30*$B20</f>
        <v>164160</v>
      </c>
      <c r="J20" s="27">
        <f>'Revenue Build'!J30*$B20</f>
        <v>174420</v>
      </c>
      <c r="K20" s="27">
        <f>'Revenue Build'!K30*$B20</f>
        <v>215460</v>
      </c>
      <c r="L20" s="27">
        <f>'Revenue Build'!L30*$B20</f>
        <v>215460</v>
      </c>
      <c r="M20" s="27">
        <f>'Revenue Build'!M30*$B20</f>
        <v>225720</v>
      </c>
      <c r="N20" s="27">
        <f>'Revenue Build'!N30*$B20</f>
        <v>235980</v>
      </c>
      <c r="O20" s="28">
        <f>SUM(C20:N20)</f>
        <v>2462400</v>
      </c>
    </row>
    <row r="21" spans="1:15" ht="16" customHeight="1" x14ac:dyDescent="0.2">
      <c r="A21" s="25" t="s">
        <v>45</v>
      </c>
      <c r="B21" s="26">
        <f>Assumptions!$B$48</f>
        <v>0.48</v>
      </c>
      <c r="C21" s="27">
        <f>'Revenue Build'!C32*$B21</f>
        <v>105840</v>
      </c>
      <c r="D21" s="27">
        <f>'Revenue Build'!D32*$B21</f>
        <v>100800</v>
      </c>
      <c r="E21" s="27">
        <f>'Revenue Build'!E32*$B21</f>
        <v>120960</v>
      </c>
      <c r="F21" s="27">
        <f>'Revenue Build'!F32*$B21</f>
        <v>90720</v>
      </c>
      <c r="G21" s="27">
        <f>'Revenue Build'!G32*$B21</f>
        <v>100800</v>
      </c>
      <c r="H21" s="27">
        <f>'Revenue Build'!H32*$B21</f>
        <v>85680</v>
      </c>
      <c r="I21" s="27">
        <f>'Revenue Build'!I32*$B21</f>
        <v>80640</v>
      </c>
      <c r="J21" s="27">
        <f>'Revenue Build'!J32*$B21</f>
        <v>85680</v>
      </c>
      <c r="K21" s="27">
        <f>'Revenue Build'!K32*$B21</f>
        <v>105840</v>
      </c>
      <c r="L21" s="27">
        <f>'Revenue Build'!L32*$B21</f>
        <v>105840</v>
      </c>
      <c r="M21" s="27">
        <f>'Revenue Build'!M32*$B21</f>
        <v>110880.00000000001</v>
      </c>
      <c r="N21" s="27">
        <f>'Revenue Build'!N32*$B21</f>
        <v>115919.99999999999</v>
      </c>
      <c r="O21" s="28">
        <f>SUM(C21:N21)</f>
        <v>1209600</v>
      </c>
    </row>
    <row r="22" spans="1:15" ht="16" customHeight="1" x14ac:dyDescent="0.2">
      <c r="A22" s="25" t="s">
        <v>49</v>
      </c>
      <c r="B22" s="26">
        <f>Assumptions!$B$49</f>
        <v>0.5</v>
      </c>
      <c r="C22" s="27">
        <f>'Revenue Build'!C34*$B22</f>
        <v>42000</v>
      </c>
      <c r="D22" s="27">
        <f>'Revenue Build'!D34*$B22</f>
        <v>40000</v>
      </c>
      <c r="E22" s="27">
        <f>'Revenue Build'!E34*$B22</f>
        <v>48000</v>
      </c>
      <c r="F22" s="27">
        <f>'Revenue Build'!F34*$B22</f>
        <v>36000</v>
      </c>
      <c r="G22" s="27">
        <f>'Revenue Build'!G34*$B22</f>
        <v>40000</v>
      </c>
      <c r="H22" s="27">
        <f>'Revenue Build'!H34*$B22</f>
        <v>34000</v>
      </c>
      <c r="I22" s="27">
        <f>'Revenue Build'!I34*$B22</f>
        <v>32000</v>
      </c>
      <c r="J22" s="27">
        <f>'Revenue Build'!J34*$B22</f>
        <v>34000</v>
      </c>
      <c r="K22" s="27">
        <f>'Revenue Build'!K34*$B22</f>
        <v>42000</v>
      </c>
      <c r="L22" s="27">
        <f>'Revenue Build'!L34*$B22</f>
        <v>42000</v>
      </c>
      <c r="M22" s="27">
        <f>'Revenue Build'!M34*$B22</f>
        <v>44000</v>
      </c>
      <c r="N22" s="27">
        <f>'Revenue Build'!N34*$B22</f>
        <v>46000</v>
      </c>
      <c r="O22" s="28">
        <f>SUM(C22:N22)</f>
        <v>480000</v>
      </c>
    </row>
    <row r="23" spans="1:15" ht="16" customHeight="1" x14ac:dyDescent="0.2">
      <c r="A23" s="25" t="s">
        <v>51</v>
      </c>
      <c r="B23" s="26">
        <f>Assumptions!$B$50</f>
        <v>0.35</v>
      </c>
      <c r="C23" s="27">
        <f>'Revenue Build'!C36*$B23</f>
        <v>42997.5</v>
      </c>
      <c r="D23" s="27">
        <f>'Revenue Build'!D36*$B23</f>
        <v>40950</v>
      </c>
      <c r="E23" s="27">
        <f>'Revenue Build'!E36*$B23</f>
        <v>49140</v>
      </c>
      <c r="F23" s="27">
        <f>'Revenue Build'!F36*$B23</f>
        <v>36855</v>
      </c>
      <c r="G23" s="27">
        <f>'Revenue Build'!G36*$B23</f>
        <v>40950</v>
      </c>
      <c r="H23" s="27">
        <f>'Revenue Build'!H36*$B23</f>
        <v>34807.5</v>
      </c>
      <c r="I23" s="27">
        <f>'Revenue Build'!I36*$B23</f>
        <v>32759.999999999996</v>
      </c>
      <c r="J23" s="27">
        <f>'Revenue Build'!J36*$B23</f>
        <v>34807.5</v>
      </c>
      <c r="K23" s="27">
        <f>'Revenue Build'!K36*$B23</f>
        <v>42997.5</v>
      </c>
      <c r="L23" s="27">
        <f>'Revenue Build'!L36*$B23</f>
        <v>42997.5</v>
      </c>
      <c r="M23" s="27">
        <f>'Revenue Build'!M36*$B23</f>
        <v>45045</v>
      </c>
      <c r="N23" s="27">
        <f>'Revenue Build'!N36*$B23</f>
        <v>47092.5</v>
      </c>
      <c r="O23" s="28">
        <f>SUM(C23:N23)</f>
        <v>491400</v>
      </c>
    </row>
    <row r="24" spans="1:15" ht="16" customHeight="1" x14ac:dyDescent="0.2">
      <c r="A24" s="29" t="s">
        <v>115</v>
      </c>
      <c r="B24" s="30"/>
      <c r="C24" s="31">
        <f t="shared" ref="C24:O24" si="2">SUM(C20:C23)</f>
        <v>406297.5</v>
      </c>
      <c r="D24" s="31">
        <f t="shared" si="2"/>
        <v>386950</v>
      </c>
      <c r="E24" s="31">
        <f t="shared" si="2"/>
        <v>464340</v>
      </c>
      <c r="F24" s="31">
        <f t="shared" si="2"/>
        <v>348255</v>
      </c>
      <c r="G24" s="31">
        <f t="shared" si="2"/>
        <v>386950</v>
      </c>
      <c r="H24" s="31">
        <f t="shared" si="2"/>
        <v>328907.5</v>
      </c>
      <c r="I24" s="31">
        <f t="shared" si="2"/>
        <v>309560</v>
      </c>
      <c r="J24" s="31">
        <f t="shared" si="2"/>
        <v>328907.5</v>
      </c>
      <c r="K24" s="31">
        <f t="shared" si="2"/>
        <v>406297.5</v>
      </c>
      <c r="L24" s="31">
        <f t="shared" si="2"/>
        <v>406297.5</v>
      </c>
      <c r="M24" s="31">
        <f t="shared" si="2"/>
        <v>425645</v>
      </c>
      <c r="N24" s="31">
        <f t="shared" si="2"/>
        <v>444992.5</v>
      </c>
      <c r="O24" s="31">
        <f t="shared" si="2"/>
        <v>4643400</v>
      </c>
    </row>
    <row r="25" spans="1:15" ht="8" customHeight="1" x14ac:dyDescent="0.2"/>
    <row r="26" spans="1:15" ht="18" customHeight="1" x14ac:dyDescent="0.2">
      <c r="A26" s="32" t="s">
        <v>116</v>
      </c>
      <c r="B26" s="33"/>
      <c r="C26" s="34">
        <f t="shared" ref="C26:O26" si="3">C10+C17+C24</f>
        <v>887087.25</v>
      </c>
      <c r="D26" s="34">
        <f t="shared" si="3"/>
        <v>844845</v>
      </c>
      <c r="E26" s="34">
        <f t="shared" si="3"/>
        <v>1013814</v>
      </c>
      <c r="F26" s="34">
        <f t="shared" si="3"/>
        <v>760360.5</v>
      </c>
      <c r="G26" s="34">
        <f t="shared" si="3"/>
        <v>844845</v>
      </c>
      <c r="H26" s="34">
        <f t="shared" si="3"/>
        <v>718118.25</v>
      </c>
      <c r="I26" s="34">
        <f t="shared" si="3"/>
        <v>675876</v>
      </c>
      <c r="J26" s="34">
        <f t="shared" si="3"/>
        <v>718118.25</v>
      </c>
      <c r="K26" s="34">
        <f t="shared" si="3"/>
        <v>887087.25</v>
      </c>
      <c r="L26" s="34">
        <f t="shared" si="3"/>
        <v>887087.25</v>
      </c>
      <c r="M26" s="34">
        <f t="shared" si="3"/>
        <v>929329.5</v>
      </c>
      <c r="N26" s="34">
        <f t="shared" si="3"/>
        <v>971571.75</v>
      </c>
      <c r="O26" s="34">
        <f t="shared" si="3"/>
        <v>10138140</v>
      </c>
    </row>
  </sheetData>
  <mergeCells count="5">
    <mergeCell ref="A12:O12"/>
    <mergeCell ref="A2:O2"/>
    <mergeCell ref="A19:O19"/>
    <mergeCell ref="A1:O1"/>
    <mergeCell ref="A5:O5"/>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D7D31"/>
  </sheetPr>
  <dimension ref="A1:O23"/>
  <sheetViews>
    <sheetView workbookViewId="0">
      <pane xSplit="2" ySplit="4" topLeftCell="C5" activePane="bottomRight" state="frozen"/>
      <selection pane="topRight"/>
      <selection pane="bottomLeft"/>
      <selection pane="bottomRight" activeCell="M23" sqref="M23"/>
    </sheetView>
  </sheetViews>
  <sheetFormatPr baseColWidth="10" defaultColWidth="8.83203125" defaultRowHeight="15" x14ac:dyDescent="0.2"/>
  <cols>
    <col min="1" max="1" width="26" customWidth="1"/>
    <col min="2" max="2" width="4" customWidth="1"/>
    <col min="3" max="15" width="12" customWidth="1"/>
  </cols>
  <sheetData>
    <row r="1" spans="1:15" ht="24" customHeight="1" x14ac:dyDescent="0.2">
      <c r="A1" s="147" t="s">
        <v>117</v>
      </c>
      <c r="B1" s="130"/>
      <c r="C1" s="130"/>
      <c r="D1" s="130"/>
      <c r="E1" s="130"/>
      <c r="F1" s="130"/>
      <c r="G1" s="130"/>
      <c r="H1" s="130"/>
      <c r="I1" s="130"/>
      <c r="J1" s="130"/>
      <c r="K1" s="130"/>
      <c r="L1" s="130"/>
      <c r="M1" s="130"/>
      <c r="N1" s="130"/>
      <c r="O1" s="130"/>
    </row>
    <row r="2" spans="1:15" ht="14" customHeight="1" x14ac:dyDescent="0.2">
      <c r="A2" s="145" t="s">
        <v>118</v>
      </c>
      <c r="B2" s="130"/>
      <c r="C2" s="130"/>
      <c r="D2" s="130"/>
      <c r="E2" s="130"/>
      <c r="F2" s="130"/>
      <c r="G2" s="130"/>
      <c r="H2" s="130"/>
      <c r="I2" s="130"/>
      <c r="J2" s="130"/>
      <c r="K2" s="130"/>
      <c r="L2" s="130"/>
      <c r="M2" s="130"/>
      <c r="N2" s="130"/>
      <c r="O2" s="130"/>
    </row>
    <row r="3" spans="1:15" ht="8" customHeight="1" x14ac:dyDescent="0.2"/>
    <row r="4" spans="1:15" ht="16" customHeight="1" x14ac:dyDescent="0.2">
      <c r="A4" s="38" t="s">
        <v>84</v>
      </c>
      <c r="C4" s="39" t="s">
        <v>92</v>
      </c>
      <c r="D4" s="39" t="s">
        <v>93</v>
      </c>
      <c r="E4" s="39" t="s">
        <v>94</v>
      </c>
      <c r="F4" s="39" t="s">
        <v>95</v>
      </c>
      <c r="G4" s="39" t="s">
        <v>60</v>
      </c>
      <c r="H4" s="39" t="s">
        <v>96</v>
      </c>
      <c r="I4" s="39" t="s">
        <v>97</v>
      </c>
      <c r="J4" s="39" t="s">
        <v>98</v>
      </c>
      <c r="K4" s="39" t="s">
        <v>99</v>
      </c>
      <c r="L4" s="39" t="s">
        <v>100</v>
      </c>
      <c r="M4" s="39" t="s">
        <v>101</v>
      </c>
      <c r="N4" s="39" t="s">
        <v>102</v>
      </c>
      <c r="O4" s="39" t="s">
        <v>103</v>
      </c>
    </row>
    <row r="5" spans="1:15" ht="16" customHeight="1" x14ac:dyDescent="0.2">
      <c r="A5" s="146" t="s">
        <v>39</v>
      </c>
      <c r="B5" s="130"/>
      <c r="C5" s="130"/>
      <c r="D5" s="130"/>
      <c r="E5" s="130"/>
      <c r="F5" s="130"/>
      <c r="G5" s="130"/>
      <c r="H5" s="130"/>
      <c r="I5" s="130"/>
      <c r="J5" s="130"/>
      <c r="K5" s="130"/>
      <c r="L5" s="130"/>
      <c r="M5" s="130"/>
      <c r="N5" s="130"/>
      <c r="O5" s="130"/>
    </row>
    <row r="6" spans="1:15" ht="16" customHeight="1" x14ac:dyDescent="0.2">
      <c r="A6" s="40" t="s">
        <v>119</v>
      </c>
      <c r="C6" s="41">
        <f>Assumptions!$B$54</f>
        <v>180000</v>
      </c>
      <c r="D6" s="41">
        <f>Assumptions!$B$54</f>
        <v>180000</v>
      </c>
      <c r="E6" s="41">
        <f>Assumptions!$B$54</f>
        <v>180000</v>
      </c>
      <c r="F6" s="41">
        <f>Assumptions!$B$54</f>
        <v>180000</v>
      </c>
      <c r="G6" s="41">
        <f>Assumptions!$B$54</f>
        <v>180000</v>
      </c>
      <c r="H6" s="41">
        <f>Assumptions!$B$54</f>
        <v>180000</v>
      </c>
      <c r="I6" s="41">
        <f>Assumptions!$B$54</f>
        <v>180000</v>
      </c>
      <c r="J6" s="41">
        <f>Assumptions!$B$54</f>
        <v>180000</v>
      </c>
      <c r="K6" s="41">
        <f>Assumptions!$B$54</f>
        <v>180000</v>
      </c>
      <c r="L6" s="41">
        <f>Assumptions!$B$54</f>
        <v>180000</v>
      </c>
      <c r="M6" s="41">
        <f>Assumptions!$B$54</f>
        <v>180000</v>
      </c>
      <c r="N6" s="41">
        <f>Assumptions!$B$54</f>
        <v>180000</v>
      </c>
      <c r="O6" s="42">
        <f>SUM(C6:N6)</f>
        <v>2160000</v>
      </c>
    </row>
    <row r="7" spans="1:15" ht="16" customHeight="1" x14ac:dyDescent="0.2">
      <c r="A7" s="40" t="s">
        <v>120</v>
      </c>
      <c r="C7" s="41">
        <f>Assumptions!$B$55</f>
        <v>150000</v>
      </c>
      <c r="D7" s="41">
        <f>Assumptions!$B$55</f>
        <v>150000</v>
      </c>
      <c r="E7" s="41">
        <f>Assumptions!$B$55</f>
        <v>150000</v>
      </c>
      <c r="F7" s="41">
        <f>Assumptions!$B$55</f>
        <v>150000</v>
      </c>
      <c r="G7" s="41">
        <f>Assumptions!$B$55</f>
        <v>150000</v>
      </c>
      <c r="H7" s="41">
        <f>Assumptions!$B$55</f>
        <v>150000</v>
      </c>
      <c r="I7" s="41">
        <f>Assumptions!$B$55</f>
        <v>150000</v>
      </c>
      <c r="J7" s="41">
        <f>Assumptions!$B$55</f>
        <v>150000</v>
      </c>
      <c r="K7" s="41">
        <f>Assumptions!$B$55</f>
        <v>150000</v>
      </c>
      <c r="L7" s="41">
        <f>Assumptions!$B$55</f>
        <v>150000</v>
      </c>
      <c r="M7" s="41">
        <f>Assumptions!$B$55</f>
        <v>150000</v>
      </c>
      <c r="N7" s="41">
        <f>Assumptions!$B$55</f>
        <v>150000</v>
      </c>
      <c r="O7" s="42">
        <f>SUM(C7:N7)</f>
        <v>1800000</v>
      </c>
    </row>
    <row r="8" spans="1:15" ht="16" customHeight="1" x14ac:dyDescent="0.2">
      <c r="A8" s="40" t="s">
        <v>121</v>
      </c>
      <c r="C8" s="41">
        <f>'Revenue Build'!C$15*Assumptions!$B$56</f>
        <v>18270</v>
      </c>
      <c r="D8" s="41">
        <f>'Revenue Build'!D$15*Assumptions!$B$56</f>
        <v>17400</v>
      </c>
      <c r="E8" s="41">
        <f>'Revenue Build'!E$15*Assumptions!$B$56</f>
        <v>20880</v>
      </c>
      <c r="F8" s="41">
        <f>'Revenue Build'!F$15*Assumptions!$B$56</f>
        <v>15660</v>
      </c>
      <c r="G8" s="41">
        <f>'Revenue Build'!G$15*Assumptions!$B$56</f>
        <v>17400</v>
      </c>
      <c r="H8" s="41">
        <f>'Revenue Build'!H$15*Assumptions!$B$56</f>
        <v>14790</v>
      </c>
      <c r="I8" s="41">
        <f>'Revenue Build'!I$15*Assumptions!$B$56</f>
        <v>13920</v>
      </c>
      <c r="J8" s="41">
        <f>'Revenue Build'!J$15*Assumptions!$B$56</f>
        <v>14790</v>
      </c>
      <c r="K8" s="41">
        <f>'Revenue Build'!K$15*Assumptions!$B$56</f>
        <v>18270</v>
      </c>
      <c r="L8" s="41">
        <f>'Revenue Build'!L$15*Assumptions!$B$56</f>
        <v>18270</v>
      </c>
      <c r="M8" s="41">
        <f>'Revenue Build'!M$15*Assumptions!$B$56</f>
        <v>19140</v>
      </c>
      <c r="N8" s="41">
        <f>'Revenue Build'!N$15*Assumptions!$B$56</f>
        <v>20010</v>
      </c>
      <c r="O8" s="42">
        <f>SUM(C8:N8)</f>
        <v>208800</v>
      </c>
    </row>
    <row r="9" spans="1:15" ht="16" customHeight="1" x14ac:dyDescent="0.2">
      <c r="A9" s="43" t="s">
        <v>122</v>
      </c>
      <c r="C9" s="44">
        <f t="shared" ref="C9:O9" si="0">SUM(C6:C8)</f>
        <v>348270</v>
      </c>
      <c r="D9" s="44">
        <f t="shared" si="0"/>
        <v>347400</v>
      </c>
      <c r="E9" s="44">
        <f t="shared" si="0"/>
        <v>350880</v>
      </c>
      <c r="F9" s="44">
        <f t="shared" si="0"/>
        <v>345660</v>
      </c>
      <c r="G9" s="44">
        <f t="shared" si="0"/>
        <v>347400</v>
      </c>
      <c r="H9" s="44">
        <f t="shared" si="0"/>
        <v>344790</v>
      </c>
      <c r="I9" s="44">
        <f t="shared" si="0"/>
        <v>343920</v>
      </c>
      <c r="J9" s="44">
        <f t="shared" si="0"/>
        <v>344790</v>
      </c>
      <c r="K9" s="44">
        <f t="shared" si="0"/>
        <v>348270</v>
      </c>
      <c r="L9" s="44">
        <f t="shared" si="0"/>
        <v>348270</v>
      </c>
      <c r="M9" s="44">
        <f t="shared" si="0"/>
        <v>349140</v>
      </c>
      <c r="N9" s="44">
        <f t="shared" si="0"/>
        <v>350010</v>
      </c>
      <c r="O9" s="44">
        <f t="shared" si="0"/>
        <v>4168800</v>
      </c>
    </row>
    <row r="10" spans="1:15" ht="8" customHeight="1" x14ac:dyDescent="0.2"/>
    <row r="11" spans="1:15" ht="16" customHeight="1" x14ac:dyDescent="0.2">
      <c r="A11" s="146" t="s">
        <v>43</v>
      </c>
      <c r="B11" s="130"/>
      <c r="C11" s="130"/>
      <c r="D11" s="130"/>
      <c r="E11" s="130"/>
      <c r="F11" s="130"/>
      <c r="G11" s="130"/>
      <c r="H11" s="130"/>
      <c r="I11" s="130"/>
      <c r="J11" s="130"/>
      <c r="K11" s="130"/>
      <c r="L11" s="130"/>
      <c r="M11" s="130"/>
      <c r="N11" s="130"/>
      <c r="O11" s="130"/>
    </row>
    <row r="12" spans="1:15" ht="16" customHeight="1" x14ac:dyDescent="0.2">
      <c r="A12" s="40" t="s">
        <v>119</v>
      </c>
      <c r="C12" s="41">
        <f>Assumptions!$C$54</f>
        <v>120000</v>
      </c>
      <c r="D12" s="41">
        <f>Assumptions!$C$54</f>
        <v>120000</v>
      </c>
      <c r="E12" s="41">
        <f>Assumptions!$C$54</f>
        <v>120000</v>
      </c>
      <c r="F12" s="41">
        <f>Assumptions!$C$54</f>
        <v>120000</v>
      </c>
      <c r="G12" s="41">
        <f>Assumptions!$C$54</f>
        <v>120000</v>
      </c>
      <c r="H12" s="41">
        <f>Assumptions!$C$54</f>
        <v>120000</v>
      </c>
      <c r="I12" s="41">
        <f>Assumptions!$C$54</f>
        <v>120000</v>
      </c>
      <c r="J12" s="41">
        <f>Assumptions!$C$54</f>
        <v>120000</v>
      </c>
      <c r="K12" s="41">
        <f>Assumptions!$C$54</f>
        <v>120000</v>
      </c>
      <c r="L12" s="41">
        <f>Assumptions!$C$54</f>
        <v>120000</v>
      </c>
      <c r="M12" s="41">
        <f>Assumptions!$C$54</f>
        <v>120000</v>
      </c>
      <c r="N12" s="41">
        <f>Assumptions!$C$54</f>
        <v>120000</v>
      </c>
      <c r="O12" s="42">
        <f>SUM(C12:N12)</f>
        <v>1440000</v>
      </c>
    </row>
    <row r="13" spans="1:15" ht="16" customHeight="1" x14ac:dyDescent="0.2">
      <c r="A13" s="40" t="s">
        <v>120</v>
      </c>
      <c r="C13" s="41">
        <f>Assumptions!$C$55</f>
        <v>100000</v>
      </c>
      <c r="D13" s="41">
        <f>Assumptions!$C$55</f>
        <v>100000</v>
      </c>
      <c r="E13" s="41">
        <f>Assumptions!$C$55</f>
        <v>100000</v>
      </c>
      <c r="F13" s="41">
        <f>Assumptions!$C$55</f>
        <v>100000</v>
      </c>
      <c r="G13" s="41">
        <f>Assumptions!$C$55</f>
        <v>100000</v>
      </c>
      <c r="H13" s="41">
        <f>Assumptions!$C$55</f>
        <v>100000</v>
      </c>
      <c r="I13" s="41">
        <f>Assumptions!$C$55</f>
        <v>100000</v>
      </c>
      <c r="J13" s="41">
        <f>Assumptions!$C$55</f>
        <v>100000</v>
      </c>
      <c r="K13" s="41">
        <f>Assumptions!$C$55</f>
        <v>100000</v>
      </c>
      <c r="L13" s="41">
        <f>Assumptions!$C$55</f>
        <v>100000</v>
      </c>
      <c r="M13" s="41">
        <f>Assumptions!$C$55</f>
        <v>100000</v>
      </c>
      <c r="N13" s="41">
        <f>Assumptions!$C$55</f>
        <v>100000</v>
      </c>
      <c r="O13" s="42">
        <f>SUM(C13:N13)</f>
        <v>1200000</v>
      </c>
    </row>
    <row r="14" spans="1:15" ht="16" customHeight="1" x14ac:dyDescent="0.2">
      <c r="A14" s="40" t="s">
        <v>121</v>
      </c>
      <c r="C14" s="41">
        <f>'Revenue Build'!C$26*Assumptions!$C$56</f>
        <v>13875.75</v>
      </c>
      <c r="D14" s="41">
        <f>'Revenue Build'!D$26*Assumptions!$C$56</f>
        <v>13215</v>
      </c>
      <c r="E14" s="41">
        <f>'Revenue Build'!E$26*Assumptions!$C$56</f>
        <v>15858</v>
      </c>
      <c r="F14" s="41">
        <f>'Revenue Build'!F$26*Assumptions!$C$56</f>
        <v>11893.5</v>
      </c>
      <c r="G14" s="41">
        <f>'Revenue Build'!G$26*Assumptions!$C$56</f>
        <v>13215</v>
      </c>
      <c r="H14" s="41">
        <f>'Revenue Build'!H$26*Assumptions!$C$56</f>
        <v>11232.75</v>
      </c>
      <c r="I14" s="41">
        <f>'Revenue Build'!I$26*Assumptions!$C$56</f>
        <v>10572</v>
      </c>
      <c r="J14" s="41">
        <f>'Revenue Build'!J$26*Assumptions!$C$56</f>
        <v>11232.75</v>
      </c>
      <c r="K14" s="41">
        <f>'Revenue Build'!K$26*Assumptions!$C$56</f>
        <v>13875.75</v>
      </c>
      <c r="L14" s="41">
        <f>'Revenue Build'!L$26*Assumptions!$C$56</f>
        <v>13875.75</v>
      </c>
      <c r="M14" s="41">
        <f>'Revenue Build'!M$26*Assumptions!$C$56</f>
        <v>14536.5</v>
      </c>
      <c r="N14" s="41">
        <f>'Revenue Build'!N$26*Assumptions!$C$56</f>
        <v>15197.25</v>
      </c>
      <c r="O14" s="42">
        <f>SUM(C14:N14)</f>
        <v>158580</v>
      </c>
    </row>
    <row r="15" spans="1:15" ht="16" customHeight="1" x14ac:dyDescent="0.2">
      <c r="A15" s="43" t="s">
        <v>123</v>
      </c>
      <c r="C15" s="44">
        <f t="shared" ref="C15:O15" si="1">SUM(C12:C14)</f>
        <v>233875.75</v>
      </c>
      <c r="D15" s="44">
        <f t="shared" si="1"/>
        <v>233215</v>
      </c>
      <c r="E15" s="44">
        <f t="shared" si="1"/>
        <v>235858</v>
      </c>
      <c r="F15" s="44">
        <f t="shared" si="1"/>
        <v>231893.5</v>
      </c>
      <c r="G15" s="44">
        <f t="shared" si="1"/>
        <v>233215</v>
      </c>
      <c r="H15" s="44">
        <f t="shared" si="1"/>
        <v>231232.75</v>
      </c>
      <c r="I15" s="44">
        <f t="shared" si="1"/>
        <v>230572</v>
      </c>
      <c r="J15" s="44">
        <f t="shared" si="1"/>
        <v>231232.75</v>
      </c>
      <c r="K15" s="44">
        <f t="shared" si="1"/>
        <v>233875.75</v>
      </c>
      <c r="L15" s="44">
        <f t="shared" si="1"/>
        <v>233875.75</v>
      </c>
      <c r="M15" s="44">
        <f t="shared" si="1"/>
        <v>234536.5</v>
      </c>
      <c r="N15" s="44">
        <f t="shared" si="1"/>
        <v>235197.25</v>
      </c>
      <c r="O15" s="44">
        <f t="shared" si="1"/>
        <v>2798580</v>
      </c>
    </row>
    <row r="16" spans="1:15" ht="8" customHeight="1" x14ac:dyDescent="0.2"/>
    <row r="17" spans="1:15" ht="16" customHeight="1" x14ac:dyDescent="0.2">
      <c r="A17" s="146" t="s">
        <v>47</v>
      </c>
      <c r="B17" s="130"/>
      <c r="C17" s="130"/>
      <c r="D17" s="130"/>
      <c r="E17" s="130"/>
      <c r="F17" s="130"/>
      <c r="G17" s="130"/>
      <c r="H17" s="130"/>
      <c r="I17" s="130"/>
      <c r="J17" s="130"/>
      <c r="K17" s="130"/>
      <c r="L17" s="130"/>
      <c r="M17" s="130"/>
      <c r="N17" s="130"/>
      <c r="O17" s="130"/>
    </row>
    <row r="18" spans="1:15" ht="16" customHeight="1" x14ac:dyDescent="0.2">
      <c r="A18" s="40" t="s">
        <v>119</v>
      </c>
      <c r="C18" s="41">
        <f>Assumptions!$D$54</f>
        <v>15000</v>
      </c>
      <c r="D18" s="41">
        <f>Assumptions!$D$54</f>
        <v>15000</v>
      </c>
      <c r="E18" s="41">
        <f>Assumptions!$D$54</f>
        <v>15000</v>
      </c>
      <c r="F18" s="41">
        <f>Assumptions!$D$54</f>
        <v>15000</v>
      </c>
      <c r="G18" s="41">
        <f>Assumptions!$D$54</f>
        <v>15000</v>
      </c>
      <c r="H18" s="41">
        <f>Assumptions!$D$54</f>
        <v>15000</v>
      </c>
      <c r="I18" s="41">
        <f>Assumptions!$D$54</f>
        <v>15000</v>
      </c>
      <c r="J18" s="41">
        <f>Assumptions!$D$54</f>
        <v>15000</v>
      </c>
      <c r="K18" s="41">
        <f>Assumptions!$D$54</f>
        <v>15000</v>
      </c>
      <c r="L18" s="41">
        <f>Assumptions!$D$54</f>
        <v>15000</v>
      </c>
      <c r="M18" s="41">
        <f>Assumptions!$D$54</f>
        <v>15000</v>
      </c>
      <c r="N18" s="41">
        <f>Assumptions!$D$54</f>
        <v>15000</v>
      </c>
      <c r="O18" s="42">
        <f>SUM(C18:N18)</f>
        <v>180000</v>
      </c>
    </row>
    <row r="19" spans="1:15" ht="16" customHeight="1" x14ac:dyDescent="0.2">
      <c r="A19" s="40" t="s">
        <v>120</v>
      </c>
      <c r="C19" s="41">
        <f>Assumptions!$D$55</f>
        <v>45000</v>
      </c>
      <c r="D19" s="41">
        <f>Assumptions!$D$55</f>
        <v>45000</v>
      </c>
      <c r="E19" s="41">
        <f>Assumptions!$D$55</f>
        <v>45000</v>
      </c>
      <c r="F19" s="41">
        <f>Assumptions!$D$55</f>
        <v>45000</v>
      </c>
      <c r="G19" s="41">
        <f>Assumptions!$D$55</f>
        <v>45000</v>
      </c>
      <c r="H19" s="41">
        <f>Assumptions!$D$55</f>
        <v>45000</v>
      </c>
      <c r="I19" s="41">
        <f>Assumptions!$D$55</f>
        <v>45000</v>
      </c>
      <c r="J19" s="41">
        <f>Assumptions!$D$55</f>
        <v>45000</v>
      </c>
      <c r="K19" s="41">
        <f>Assumptions!$D$55</f>
        <v>45000</v>
      </c>
      <c r="L19" s="41">
        <f>Assumptions!$D$55</f>
        <v>45000</v>
      </c>
      <c r="M19" s="41">
        <f>Assumptions!$D$55</f>
        <v>45000</v>
      </c>
      <c r="N19" s="41">
        <f>Assumptions!$D$55</f>
        <v>45000</v>
      </c>
      <c r="O19" s="42">
        <f>SUM(C19:N19)</f>
        <v>540000</v>
      </c>
    </row>
    <row r="20" spans="1:15" ht="16" customHeight="1" x14ac:dyDescent="0.2">
      <c r="A20" s="40" t="s">
        <v>121</v>
      </c>
      <c r="C20" s="41">
        <f>'Revenue Build'!C$37*Assumptions!$D$56</f>
        <v>18123</v>
      </c>
      <c r="D20" s="41">
        <f>'Revenue Build'!D$37*Assumptions!$D$56</f>
        <v>17260</v>
      </c>
      <c r="E20" s="41">
        <f>'Revenue Build'!E$37*Assumptions!$D$56</f>
        <v>20712</v>
      </c>
      <c r="F20" s="41">
        <f>'Revenue Build'!F$37*Assumptions!$D$56</f>
        <v>15534</v>
      </c>
      <c r="G20" s="41">
        <f>'Revenue Build'!G$37*Assumptions!$D$56</f>
        <v>17260</v>
      </c>
      <c r="H20" s="41">
        <f>'Revenue Build'!H$37*Assumptions!$D$56</f>
        <v>14671</v>
      </c>
      <c r="I20" s="41">
        <f>'Revenue Build'!I$37*Assumptions!$D$56</f>
        <v>13808</v>
      </c>
      <c r="J20" s="41">
        <f>'Revenue Build'!J$37*Assumptions!$D$56</f>
        <v>14671</v>
      </c>
      <c r="K20" s="41">
        <f>'Revenue Build'!K$37*Assumptions!$D$56</f>
        <v>18123</v>
      </c>
      <c r="L20" s="41">
        <f>'Revenue Build'!L$37*Assumptions!$D$56</f>
        <v>18123</v>
      </c>
      <c r="M20" s="41">
        <f>'Revenue Build'!M$37*Assumptions!$D$56</f>
        <v>18986</v>
      </c>
      <c r="N20" s="41">
        <f>'Revenue Build'!N$37*Assumptions!$D$56</f>
        <v>19849</v>
      </c>
      <c r="O20" s="42">
        <f>SUM(C20:N20)</f>
        <v>207120</v>
      </c>
    </row>
    <row r="21" spans="1:15" ht="16" customHeight="1" x14ac:dyDescent="0.2">
      <c r="A21" s="43" t="s">
        <v>124</v>
      </c>
      <c r="C21" s="44">
        <f t="shared" ref="C21:O21" si="2">SUM(C18:C20)</f>
        <v>78123</v>
      </c>
      <c r="D21" s="44">
        <f t="shared" si="2"/>
        <v>77260</v>
      </c>
      <c r="E21" s="44">
        <f t="shared" si="2"/>
        <v>80712</v>
      </c>
      <c r="F21" s="44">
        <f t="shared" si="2"/>
        <v>75534</v>
      </c>
      <c r="G21" s="44">
        <f t="shared" si="2"/>
        <v>77260</v>
      </c>
      <c r="H21" s="44">
        <f t="shared" si="2"/>
        <v>74671</v>
      </c>
      <c r="I21" s="44">
        <f t="shared" si="2"/>
        <v>73808</v>
      </c>
      <c r="J21" s="44">
        <f t="shared" si="2"/>
        <v>74671</v>
      </c>
      <c r="K21" s="44">
        <f t="shared" si="2"/>
        <v>78123</v>
      </c>
      <c r="L21" s="44">
        <f t="shared" si="2"/>
        <v>78123</v>
      </c>
      <c r="M21" s="44">
        <f t="shared" si="2"/>
        <v>78986</v>
      </c>
      <c r="N21" s="44">
        <f t="shared" si="2"/>
        <v>79849</v>
      </c>
      <c r="O21" s="44">
        <f t="shared" si="2"/>
        <v>927120</v>
      </c>
    </row>
    <row r="22" spans="1:15" ht="8" customHeight="1" x14ac:dyDescent="0.2"/>
    <row r="23" spans="1:15" ht="18" customHeight="1" x14ac:dyDescent="0.2">
      <c r="A23" s="45" t="s">
        <v>125</v>
      </c>
      <c r="C23" s="46">
        <f t="shared" ref="C23:O23" si="3">C9+C15+C21</f>
        <v>660268.75</v>
      </c>
      <c r="D23" s="46">
        <f t="shared" si="3"/>
        <v>657875</v>
      </c>
      <c r="E23" s="46">
        <f t="shared" si="3"/>
        <v>667450</v>
      </c>
      <c r="F23" s="46">
        <f t="shared" si="3"/>
        <v>653087.5</v>
      </c>
      <c r="G23" s="46">
        <f t="shared" si="3"/>
        <v>657875</v>
      </c>
      <c r="H23" s="46">
        <f t="shared" si="3"/>
        <v>650693.75</v>
      </c>
      <c r="I23" s="46">
        <f t="shared" si="3"/>
        <v>648300</v>
      </c>
      <c r="J23" s="46">
        <f t="shared" si="3"/>
        <v>650693.75</v>
      </c>
      <c r="K23" s="46">
        <f t="shared" si="3"/>
        <v>660268.75</v>
      </c>
      <c r="L23" s="46">
        <f t="shared" si="3"/>
        <v>660268.75</v>
      </c>
      <c r="M23" s="46">
        <f t="shared" si="3"/>
        <v>662662.5</v>
      </c>
      <c r="N23" s="46">
        <f t="shared" si="3"/>
        <v>665056.25</v>
      </c>
      <c r="O23" s="46">
        <f t="shared" si="3"/>
        <v>7894500</v>
      </c>
    </row>
  </sheetData>
  <mergeCells count="5">
    <mergeCell ref="A2:O2"/>
    <mergeCell ref="A11:O11"/>
    <mergeCell ref="A1:O1"/>
    <mergeCell ref="A5:O5"/>
    <mergeCell ref="A17:O17"/>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03864"/>
  </sheetPr>
  <dimension ref="A1:R13"/>
  <sheetViews>
    <sheetView workbookViewId="0">
      <pane xSplit="2" ySplit="5" topLeftCell="C6" activePane="bottomRight" state="frozen"/>
      <selection pane="topRight"/>
      <selection pane="bottomLeft"/>
      <selection pane="bottomRight" activeCell="O6" sqref="O6"/>
    </sheetView>
  </sheetViews>
  <sheetFormatPr baseColWidth="10" defaultColWidth="8.83203125" defaultRowHeight="15" x14ac:dyDescent="0.2"/>
  <cols>
    <col min="1" max="1" width="24" customWidth="1"/>
    <col min="2" max="2" width="16" customWidth="1"/>
    <col min="3" max="18" width="13" customWidth="1"/>
  </cols>
  <sheetData>
    <row r="1" spans="1:18" ht="24" customHeight="1" x14ac:dyDescent="0.2">
      <c r="A1" s="149" t="s">
        <v>126</v>
      </c>
      <c r="B1" s="130"/>
      <c r="C1" s="130"/>
      <c r="D1" s="130"/>
      <c r="E1" s="130"/>
      <c r="F1" s="130"/>
      <c r="G1" s="130"/>
      <c r="H1" s="130"/>
      <c r="I1" s="130"/>
      <c r="J1" s="130"/>
      <c r="K1" s="130"/>
      <c r="L1" s="130"/>
      <c r="M1" s="130"/>
      <c r="N1" s="130"/>
      <c r="O1" s="130"/>
      <c r="P1" s="130"/>
      <c r="Q1" s="130"/>
      <c r="R1" s="130"/>
    </row>
    <row r="2" spans="1:18" ht="14" customHeight="1" x14ac:dyDescent="0.2">
      <c r="A2" s="148" t="s">
        <v>127</v>
      </c>
      <c r="B2" s="130"/>
      <c r="C2" s="130"/>
      <c r="D2" s="130"/>
      <c r="E2" s="130"/>
      <c r="F2" s="130"/>
      <c r="G2" s="130"/>
      <c r="H2" s="130"/>
      <c r="I2" s="130"/>
      <c r="J2" s="130"/>
      <c r="K2" s="130"/>
      <c r="L2" s="130"/>
      <c r="M2" s="130"/>
      <c r="N2" s="130"/>
      <c r="O2" s="130"/>
      <c r="P2" s="130"/>
      <c r="Q2" s="130"/>
      <c r="R2" s="130"/>
    </row>
    <row r="3" spans="1:18" ht="14" customHeight="1" x14ac:dyDescent="0.2">
      <c r="A3" s="47" t="s">
        <v>2</v>
      </c>
      <c r="B3" s="48" t="s">
        <v>128</v>
      </c>
      <c r="C3" s="49" t="s">
        <v>129</v>
      </c>
      <c r="D3" s="50" t="s">
        <v>130</v>
      </c>
    </row>
    <row r="4" spans="1:18" ht="8" customHeight="1" x14ac:dyDescent="0.2"/>
    <row r="5" spans="1:18" ht="16" customHeight="1" x14ac:dyDescent="0.2">
      <c r="A5" s="51" t="s">
        <v>131</v>
      </c>
      <c r="B5" s="52" t="s">
        <v>132</v>
      </c>
      <c r="C5" s="53" t="s">
        <v>133</v>
      </c>
      <c r="D5" s="53" t="s">
        <v>134</v>
      </c>
      <c r="E5" s="53" t="s">
        <v>135</v>
      </c>
      <c r="F5" s="53" t="s">
        <v>136</v>
      </c>
      <c r="G5" s="53" t="s">
        <v>137</v>
      </c>
      <c r="H5" s="53" t="s">
        <v>138</v>
      </c>
      <c r="I5" s="53" t="s">
        <v>139</v>
      </c>
      <c r="J5" s="53" t="s">
        <v>140</v>
      </c>
      <c r="K5" s="53" t="s">
        <v>141</v>
      </c>
      <c r="L5" s="53" t="s">
        <v>142</v>
      </c>
      <c r="M5" s="53" t="s">
        <v>143</v>
      </c>
      <c r="N5" s="53" t="s">
        <v>144</v>
      </c>
      <c r="O5" s="54" t="s">
        <v>145</v>
      </c>
      <c r="P5" s="55" t="s">
        <v>146</v>
      </c>
      <c r="Q5" s="55" t="s">
        <v>147</v>
      </c>
      <c r="R5" s="55" t="s">
        <v>148</v>
      </c>
    </row>
    <row r="6" spans="1:18" ht="17" customHeight="1" x14ac:dyDescent="0.2">
      <c r="A6" s="56" t="s">
        <v>15</v>
      </c>
      <c r="B6" s="57">
        <v>19800000</v>
      </c>
      <c r="C6" s="58">
        <f>'Revenue Build'!C39</f>
        <v>1977675</v>
      </c>
      <c r="D6" s="58">
        <f>'Revenue Build'!D39</f>
        <v>1883500</v>
      </c>
      <c r="E6" s="58">
        <f>'Revenue Build'!E39</f>
        <v>2260200</v>
      </c>
      <c r="F6" s="58">
        <f>'Revenue Build'!F39</f>
        <v>1695150</v>
      </c>
      <c r="G6" s="58">
        <f>'Revenue Build'!G39</f>
        <v>1883500</v>
      </c>
      <c r="H6" s="58">
        <f>'Revenue Build'!H39</f>
        <v>1600975</v>
      </c>
      <c r="I6" s="58">
        <f>'Revenue Build'!I39</f>
        <v>1506800</v>
      </c>
      <c r="J6" s="58">
        <f>'Revenue Build'!J39</f>
        <v>1600975</v>
      </c>
      <c r="K6" s="58">
        <f>'Revenue Build'!K39</f>
        <v>1977675</v>
      </c>
      <c r="L6" s="58">
        <f>'Revenue Build'!L39</f>
        <v>1977675</v>
      </c>
      <c r="M6" s="58">
        <f>'Revenue Build'!M39</f>
        <v>2071850</v>
      </c>
      <c r="N6" s="58">
        <f>'Revenue Build'!N39</f>
        <v>2166025</v>
      </c>
      <c r="O6" s="59">
        <f>'Revenue Build'!O39</f>
        <v>22602000</v>
      </c>
      <c r="P6" s="60">
        <v>1900000</v>
      </c>
      <c r="Q6" s="60">
        <v>1860000</v>
      </c>
      <c r="R6" s="60">
        <v>2280000</v>
      </c>
    </row>
    <row r="7" spans="1:18" ht="17" customHeight="1" x14ac:dyDescent="0.2">
      <c r="A7" s="61" t="s">
        <v>16</v>
      </c>
      <c r="B7" s="62">
        <v>9200000</v>
      </c>
      <c r="C7" s="63">
        <f>'COGS Build'!C26</f>
        <v>887087.25</v>
      </c>
      <c r="D7" s="63">
        <f>'COGS Build'!D26</f>
        <v>844845</v>
      </c>
      <c r="E7" s="63">
        <f>'COGS Build'!E26</f>
        <v>1013814</v>
      </c>
      <c r="F7" s="63">
        <f>'COGS Build'!F26</f>
        <v>760360.5</v>
      </c>
      <c r="G7" s="63">
        <f>'COGS Build'!G26</f>
        <v>844845</v>
      </c>
      <c r="H7" s="63">
        <f>'COGS Build'!H26</f>
        <v>718118.25</v>
      </c>
      <c r="I7" s="63">
        <f>'COGS Build'!I26</f>
        <v>675876</v>
      </c>
      <c r="J7" s="63">
        <f>'COGS Build'!J26</f>
        <v>718118.25</v>
      </c>
      <c r="K7" s="63">
        <f>'COGS Build'!K26</f>
        <v>887087.25</v>
      </c>
      <c r="L7" s="63">
        <f>'COGS Build'!L26</f>
        <v>887087.25</v>
      </c>
      <c r="M7" s="63">
        <f>'COGS Build'!M26</f>
        <v>929329.5</v>
      </c>
      <c r="N7" s="63">
        <f>'COGS Build'!N26</f>
        <v>971571.75</v>
      </c>
      <c r="O7" s="59">
        <f>'COGS Build'!O26</f>
        <v>10138140</v>
      </c>
      <c r="P7" s="64">
        <v>858000</v>
      </c>
      <c r="Q7" s="64">
        <v>840000</v>
      </c>
      <c r="R7" s="64">
        <v>1040000</v>
      </c>
    </row>
    <row r="8" spans="1:18" ht="17" customHeight="1" x14ac:dyDescent="0.2">
      <c r="A8" s="65" t="s">
        <v>17</v>
      </c>
      <c r="B8" s="63">
        <f t="shared" ref="B8:R8" si="0">B6-B7</f>
        <v>10600000</v>
      </c>
      <c r="C8" s="63">
        <f t="shared" si="0"/>
        <v>1090587.75</v>
      </c>
      <c r="D8" s="63">
        <f t="shared" si="0"/>
        <v>1038655</v>
      </c>
      <c r="E8" s="63">
        <f t="shared" si="0"/>
        <v>1246386</v>
      </c>
      <c r="F8" s="63">
        <f t="shared" si="0"/>
        <v>934789.5</v>
      </c>
      <c r="G8" s="63">
        <f t="shared" si="0"/>
        <v>1038655</v>
      </c>
      <c r="H8" s="63">
        <f t="shared" si="0"/>
        <v>882856.75</v>
      </c>
      <c r="I8" s="63">
        <f t="shared" si="0"/>
        <v>830924</v>
      </c>
      <c r="J8" s="63">
        <f t="shared" si="0"/>
        <v>882856.75</v>
      </c>
      <c r="K8" s="63">
        <f t="shared" si="0"/>
        <v>1090587.75</v>
      </c>
      <c r="L8" s="63">
        <f t="shared" si="0"/>
        <v>1090587.75</v>
      </c>
      <c r="M8" s="63">
        <f t="shared" si="0"/>
        <v>1142520.5</v>
      </c>
      <c r="N8" s="63">
        <f t="shared" si="0"/>
        <v>1194453.25</v>
      </c>
      <c r="O8" s="59">
        <f t="shared" si="0"/>
        <v>12463860</v>
      </c>
      <c r="P8" s="63">
        <f t="shared" si="0"/>
        <v>1042000</v>
      </c>
      <c r="Q8" s="63">
        <f t="shared" si="0"/>
        <v>1020000</v>
      </c>
      <c r="R8" s="63">
        <f t="shared" si="0"/>
        <v>1240000</v>
      </c>
    </row>
    <row r="9" spans="1:18" ht="17" customHeight="1" x14ac:dyDescent="0.2">
      <c r="A9" s="65" t="s">
        <v>18</v>
      </c>
      <c r="B9" s="66">
        <f t="shared" ref="B9:R9" si="1">B8/B6</f>
        <v>0.53535353535353536</v>
      </c>
      <c r="C9" s="66">
        <f t="shared" si="1"/>
        <v>0.55144942925404827</v>
      </c>
      <c r="D9" s="66">
        <f>D8/D6</f>
        <v>0.55144942925404827</v>
      </c>
      <c r="E9" s="66">
        <f t="shared" si="1"/>
        <v>0.55144942925404827</v>
      </c>
      <c r="F9" s="66">
        <f t="shared" si="1"/>
        <v>0.55144942925404827</v>
      </c>
      <c r="G9" s="66">
        <f t="shared" si="1"/>
        <v>0.55144942925404827</v>
      </c>
      <c r="H9" s="66">
        <f t="shared" si="1"/>
        <v>0.55144942925404827</v>
      </c>
      <c r="I9" s="66">
        <f t="shared" si="1"/>
        <v>0.55144942925404827</v>
      </c>
      <c r="J9" s="66">
        <f t="shared" si="1"/>
        <v>0.55144942925404827</v>
      </c>
      <c r="K9" s="66">
        <f t="shared" si="1"/>
        <v>0.55144942925404827</v>
      </c>
      <c r="L9" s="66">
        <f t="shared" si="1"/>
        <v>0.55144942925404827</v>
      </c>
      <c r="M9" s="66">
        <f t="shared" si="1"/>
        <v>0.55144942925404827</v>
      </c>
      <c r="N9" s="66">
        <f t="shared" si="1"/>
        <v>0.55144942925404827</v>
      </c>
      <c r="O9" s="67">
        <f t="shared" si="1"/>
        <v>0.55144942925404827</v>
      </c>
      <c r="P9" s="66">
        <f t="shared" si="1"/>
        <v>0.54842105263157892</v>
      </c>
      <c r="Q9" s="66">
        <f t="shared" si="1"/>
        <v>0.54838709677419351</v>
      </c>
      <c r="R9" s="66">
        <f t="shared" si="1"/>
        <v>0.54385964912280704</v>
      </c>
    </row>
    <row r="10" spans="1:18" ht="6" customHeight="1" x14ac:dyDescent="0.2"/>
    <row r="11" spans="1:18" ht="17" customHeight="1" x14ac:dyDescent="0.2">
      <c r="A11" s="61" t="s">
        <v>19</v>
      </c>
      <c r="B11" s="62">
        <v>7100000</v>
      </c>
      <c r="C11" s="63">
        <f>'OpEx Detail'!C23</f>
        <v>660268.75</v>
      </c>
      <c r="D11" s="63">
        <f>'OpEx Detail'!D23</f>
        <v>657875</v>
      </c>
      <c r="E11" s="63">
        <f>'OpEx Detail'!E23</f>
        <v>667450</v>
      </c>
      <c r="F11" s="63">
        <f>'OpEx Detail'!F23</f>
        <v>653087.5</v>
      </c>
      <c r="G11" s="63">
        <f>'OpEx Detail'!G23</f>
        <v>657875</v>
      </c>
      <c r="H11" s="63">
        <f>'OpEx Detail'!H23</f>
        <v>650693.75</v>
      </c>
      <c r="I11" s="63">
        <f>'OpEx Detail'!I23</f>
        <v>648300</v>
      </c>
      <c r="J11" s="63">
        <f>'OpEx Detail'!J23</f>
        <v>650693.75</v>
      </c>
      <c r="K11" s="63">
        <f>'OpEx Detail'!K23</f>
        <v>660268.75</v>
      </c>
      <c r="L11" s="63">
        <f>'OpEx Detail'!L23</f>
        <v>660268.75</v>
      </c>
      <c r="M11" s="63">
        <f>'OpEx Detail'!M23</f>
        <v>662662.5</v>
      </c>
      <c r="N11" s="63">
        <f>'OpEx Detail'!N23</f>
        <v>665056.25</v>
      </c>
      <c r="O11" s="59">
        <f>'OpEx Detail'!O23</f>
        <v>7894500</v>
      </c>
      <c r="P11" s="64">
        <v>685000</v>
      </c>
      <c r="Q11" s="64">
        <v>658000</v>
      </c>
      <c r="R11" s="64">
        <v>710000</v>
      </c>
    </row>
    <row r="12" spans="1:18" ht="17" customHeight="1" x14ac:dyDescent="0.2">
      <c r="A12" s="65" t="s">
        <v>20</v>
      </c>
      <c r="B12" s="63">
        <f t="shared" ref="B12:R12" si="2">B8-B11</f>
        <v>3500000</v>
      </c>
      <c r="C12" s="63">
        <f t="shared" si="2"/>
        <v>430319</v>
      </c>
      <c r="D12" s="63">
        <f t="shared" si="2"/>
        <v>380780</v>
      </c>
      <c r="E12" s="63">
        <f t="shared" si="2"/>
        <v>578936</v>
      </c>
      <c r="F12" s="63">
        <f t="shared" si="2"/>
        <v>281702</v>
      </c>
      <c r="G12" s="63">
        <f t="shared" si="2"/>
        <v>380780</v>
      </c>
      <c r="H12" s="63">
        <f t="shared" si="2"/>
        <v>232163</v>
      </c>
      <c r="I12" s="63">
        <f t="shared" si="2"/>
        <v>182624</v>
      </c>
      <c r="J12" s="63">
        <f t="shared" si="2"/>
        <v>232163</v>
      </c>
      <c r="K12" s="63">
        <f t="shared" si="2"/>
        <v>430319</v>
      </c>
      <c r="L12" s="63">
        <f t="shared" si="2"/>
        <v>430319</v>
      </c>
      <c r="M12" s="63">
        <f t="shared" si="2"/>
        <v>479858</v>
      </c>
      <c r="N12" s="63">
        <f t="shared" si="2"/>
        <v>529397</v>
      </c>
      <c r="O12" s="59">
        <f t="shared" si="2"/>
        <v>4569360</v>
      </c>
      <c r="P12" s="63">
        <f t="shared" si="2"/>
        <v>357000</v>
      </c>
      <c r="Q12" s="63">
        <f t="shared" si="2"/>
        <v>362000</v>
      </c>
      <c r="R12" s="63">
        <f t="shared" si="2"/>
        <v>530000</v>
      </c>
    </row>
    <row r="13" spans="1:18" ht="17" customHeight="1" x14ac:dyDescent="0.2">
      <c r="A13" s="65" t="s">
        <v>21</v>
      </c>
      <c r="B13" s="66">
        <f t="shared" ref="B13:R13" si="3">B12/B6</f>
        <v>0.17676767676767677</v>
      </c>
      <c r="C13" s="66">
        <f t="shared" si="3"/>
        <v>0.21758832973061804</v>
      </c>
      <c r="D13" s="66">
        <f>D12/D6</f>
        <v>0.20216617998407221</v>
      </c>
      <c r="E13" s="66">
        <f t="shared" si="3"/>
        <v>0.25614370409698256</v>
      </c>
      <c r="F13" s="66">
        <f t="shared" si="3"/>
        <v>0.16618116390879864</v>
      </c>
      <c r="G13" s="66">
        <f t="shared" si="3"/>
        <v>0.20216617998407221</v>
      </c>
      <c r="H13" s="66">
        <f t="shared" si="3"/>
        <v>0.14501350739393182</v>
      </c>
      <c r="I13" s="66">
        <f t="shared" si="3"/>
        <v>0.12119989381470667</v>
      </c>
      <c r="J13" s="66">
        <f t="shared" si="3"/>
        <v>0.14501350739393182</v>
      </c>
      <c r="K13" s="66">
        <f t="shared" si="3"/>
        <v>0.21758832973061804</v>
      </c>
      <c r="L13" s="66">
        <f t="shared" si="3"/>
        <v>0.21758832973061804</v>
      </c>
      <c r="M13" s="66">
        <f t="shared" si="3"/>
        <v>0.23160846586384148</v>
      </c>
      <c r="N13" s="66">
        <f t="shared" si="3"/>
        <v>0.24440945972461076</v>
      </c>
      <c r="O13" s="67">
        <f t="shared" si="3"/>
        <v>0.20216617998407221</v>
      </c>
      <c r="P13" s="66">
        <f t="shared" si="3"/>
        <v>0.18789473684210525</v>
      </c>
      <c r="Q13" s="66">
        <f t="shared" si="3"/>
        <v>0.19462365591397848</v>
      </c>
      <c r="R13" s="66">
        <f t="shared" si="3"/>
        <v>0.23245614035087719</v>
      </c>
    </row>
  </sheetData>
  <mergeCells count="2">
    <mergeCell ref="A2:R2"/>
    <mergeCell ref="A1:R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X20"/>
  <sheetViews>
    <sheetView workbookViewId="0">
      <pane xSplit="1" ySplit="6" topLeftCell="H7" activePane="bottomRight" state="frozen"/>
      <selection pane="topRight"/>
      <selection pane="bottomLeft"/>
      <selection pane="bottomRight" activeCell="L8" sqref="L8"/>
    </sheetView>
  </sheetViews>
  <sheetFormatPr baseColWidth="10" defaultColWidth="8.83203125" defaultRowHeight="15" x14ac:dyDescent="0.2"/>
  <cols>
    <col min="1" max="1" width="22" customWidth="1"/>
    <col min="2" max="4" width="13" customWidth="1"/>
    <col min="5" max="5" width="10" customWidth="1"/>
    <col min="6" max="6" width="13" customWidth="1"/>
    <col min="7" max="7" width="2" customWidth="1"/>
    <col min="8" max="10" width="13" customWidth="1"/>
    <col min="11" max="11" width="10" customWidth="1"/>
    <col min="12" max="12" width="13" customWidth="1"/>
    <col min="13" max="13" width="2" customWidth="1"/>
    <col min="14" max="16" width="13" customWidth="1"/>
    <col min="17" max="17" width="10" customWidth="1"/>
    <col min="18" max="18" width="13" customWidth="1"/>
    <col min="19" max="19" width="2" customWidth="1"/>
    <col min="20" max="22" width="13" customWidth="1"/>
    <col min="23" max="23" width="10" customWidth="1"/>
    <col min="24" max="24" width="13" customWidth="1"/>
  </cols>
  <sheetData>
    <row r="1" spans="1:24" ht="24" customHeight="1" x14ac:dyDescent="0.2">
      <c r="A1" s="134" t="s">
        <v>0</v>
      </c>
      <c r="B1" s="130"/>
      <c r="C1" s="130"/>
      <c r="D1" s="130"/>
      <c r="E1" s="130"/>
      <c r="F1" s="130"/>
      <c r="G1" s="130"/>
      <c r="H1" s="130"/>
      <c r="I1" s="130"/>
      <c r="J1" s="130"/>
      <c r="K1" s="130"/>
      <c r="L1" s="130"/>
      <c r="M1" s="130"/>
      <c r="N1" s="130"/>
      <c r="O1" s="130"/>
      <c r="P1" s="130"/>
      <c r="Q1" s="130"/>
      <c r="R1" s="130"/>
      <c r="S1" s="130"/>
      <c r="T1" s="130"/>
      <c r="U1" s="130"/>
      <c r="V1" s="130"/>
      <c r="W1" s="130"/>
      <c r="X1" s="130"/>
    </row>
    <row r="2" spans="1:24" ht="14" customHeight="1" x14ac:dyDescent="0.2">
      <c r="A2" s="131" t="s">
        <v>1</v>
      </c>
      <c r="B2" s="130"/>
      <c r="C2" s="130"/>
      <c r="D2" s="130"/>
      <c r="E2" s="130"/>
      <c r="F2" s="130"/>
      <c r="G2" s="130"/>
      <c r="H2" s="130"/>
      <c r="I2" s="130"/>
      <c r="J2" s="130"/>
      <c r="K2" s="130"/>
      <c r="L2" s="130"/>
      <c r="M2" s="130"/>
      <c r="N2" s="130"/>
      <c r="O2" s="130"/>
      <c r="P2" s="130"/>
      <c r="Q2" s="130"/>
      <c r="R2" s="130"/>
      <c r="S2" s="130"/>
      <c r="T2" s="130"/>
      <c r="U2" s="130"/>
      <c r="V2" s="130"/>
      <c r="W2" s="130"/>
      <c r="X2" s="130"/>
    </row>
    <row r="3" spans="1:24" ht="14" customHeight="1" x14ac:dyDescent="0.2">
      <c r="A3" s="68" t="s">
        <v>2</v>
      </c>
      <c r="B3" s="69" t="s">
        <v>3</v>
      </c>
      <c r="C3" s="70" t="s">
        <v>4</v>
      </c>
      <c r="D3" s="71" t="s">
        <v>5</v>
      </c>
    </row>
    <row r="4" spans="1:24" ht="8" customHeight="1" x14ac:dyDescent="0.2"/>
    <row r="5" spans="1:24" ht="16" customHeight="1" x14ac:dyDescent="0.2">
      <c r="B5" s="132" t="s">
        <v>6</v>
      </c>
      <c r="C5" s="130"/>
      <c r="D5" s="130"/>
      <c r="E5" s="130"/>
      <c r="F5" s="130"/>
      <c r="H5" s="132" t="s">
        <v>7</v>
      </c>
      <c r="I5" s="130"/>
      <c r="J5" s="130"/>
      <c r="K5" s="130"/>
      <c r="L5" s="130"/>
      <c r="N5" s="132" t="s">
        <v>8</v>
      </c>
      <c r="O5" s="130"/>
      <c r="P5" s="130"/>
      <c r="Q5" s="130"/>
      <c r="R5" s="130"/>
      <c r="T5" s="133" t="s">
        <v>9</v>
      </c>
      <c r="U5" s="130"/>
      <c r="V5" s="130"/>
      <c r="W5" s="130"/>
      <c r="X5" s="130"/>
    </row>
    <row r="6" spans="1:24" ht="14" customHeight="1" x14ac:dyDescent="0.2">
      <c r="B6" s="73" t="s">
        <v>10</v>
      </c>
      <c r="C6" s="74" t="s">
        <v>11</v>
      </c>
      <c r="D6" s="75" t="s">
        <v>12</v>
      </c>
      <c r="E6" s="75" t="s">
        <v>13</v>
      </c>
      <c r="F6" s="75" t="s">
        <v>14</v>
      </c>
      <c r="H6" s="73" t="s">
        <v>10</v>
      </c>
      <c r="I6" s="74" t="s">
        <v>11</v>
      </c>
      <c r="J6" s="75" t="s">
        <v>12</v>
      </c>
      <c r="K6" s="75" t="s">
        <v>13</v>
      </c>
      <c r="L6" s="75" t="s">
        <v>14</v>
      </c>
      <c r="N6" s="73" t="s">
        <v>10</v>
      </c>
      <c r="O6" s="74" t="s">
        <v>11</v>
      </c>
      <c r="P6" s="75" t="s">
        <v>12</v>
      </c>
      <c r="Q6" s="75" t="s">
        <v>13</v>
      </c>
      <c r="R6" s="75" t="s">
        <v>14</v>
      </c>
      <c r="T6" s="76" t="s">
        <v>10</v>
      </c>
      <c r="U6" s="76" t="s">
        <v>11</v>
      </c>
      <c r="V6" s="76" t="s">
        <v>12</v>
      </c>
      <c r="W6" s="76" t="s">
        <v>13</v>
      </c>
      <c r="X6" s="76" t="s">
        <v>14</v>
      </c>
    </row>
    <row r="7" spans="1:24" ht="17" customHeight="1" x14ac:dyDescent="0.2">
      <c r="A7" s="77" t="s">
        <v>15</v>
      </c>
      <c r="B7" s="80">
        <f>'P&amp;L Summary'!C6</f>
        <v>1977675</v>
      </c>
      <c r="C7" s="81">
        <f>'P&amp;L Summary'!P6</f>
        <v>1900000</v>
      </c>
      <c r="D7" s="82">
        <f>C7-B7</f>
        <v>-77675</v>
      </c>
      <c r="E7" s="85" t="str">
        <f>IF(D7&lt;0,"Unfav","Fav")</f>
        <v>Unfav</v>
      </c>
      <c r="F7" s="83">
        <f>D7/B7</f>
        <v>-3.9275917428293325E-2</v>
      </c>
      <c r="H7" s="80">
        <f>'P&amp;L Summary'!D6</f>
        <v>1883500</v>
      </c>
      <c r="I7" s="81">
        <f>'P&amp;L Summary'!Q6</f>
        <v>1860000</v>
      </c>
      <c r="J7" s="82">
        <f>I7-H7</f>
        <v>-23500</v>
      </c>
      <c r="K7" s="85" t="str">
        <f>IF(J7&lt;0,"Unfav","Fav")</f>
        <v>Unfav</v>
      </c>
      <c r="L7" s="83">
        <f>J7/H7</f>
        <v>-1.2476771967082559E-2</v>
      </c>
      <c r="N7" s="80">
        <f>'P&amp;L Summary'!E6</f>
        <v>2260200</v>
      </c>
      <c r="O7" s="81">
        <f>'P&amp;L Summary'!R6</f>
        <v>2280000</v>
      </c>
      <c r="P7" s="82">
        <f>O7-N7</f>
        <v>19800</v>
      </c>
      <c r="Q7" s="85" t="str">
        <f>IF(P7&lt;0,"Unfav","Fav")</f>
        <v>Fav</v>
      </c>
      <c r="R7" s="83">
        <f>P7/N7</f>
        <v>8.7602867002920092E-3</v>
      </c>
      <c r="T7" s="78">
        <f t="shared" ref="T7:V10" si="0">B7+H7+N7</f>
        <v>6121375</v>
      </c>
      <c r="U7" s="78">
        <f t="shared" si="0"/>
        <v>6040000</v>
      </c>
      <c r="V7" s="78">
        <f t="shared" si="0"/>
        <v>-81375</v>
      </c>
      <c r="W7" s="72" t="str">
        <f>IF(V7&lt;0,"Unfav","Fav")</f>
        <v>Unfav</v>
      </c>
      <c r="X7" s="89">
        <f>V7/T7</f>
        <v>-1.3293581915827735E-2</v>
      </c>
    </row>
    <row r="8" spans="1:24" ht="17" customHeight="1" x14ac:dyDescent="0.2">
      <c r="A8" s="79" t="s">
        <v>16</v>
      </c>
      <c r="B8" s="80">
        <f>'P&amp;L Summary'!C7</f>
        <v>887087.25</v>
      </c>
      <c r="C8" s="81">
        <f>'P&amp;L Summary'!P7</f>
        <v>858000</v>
      </c>
      <c r="D8" s="82">
        <f>C8-B8</f>
        <v>-29087.25</v>
      </c>
      <c r="E8" s="85" t="str">
        <f>IF(D8&gt;0,"Unfav","Fav")</f>
        <v>Fav</v>
      </c>
      <c r="F8" s="83">
        <f>D8/B8</f>
        <v>-3.2789615677601046E-2</v>
      </c>
      <c r="H8" s="80">
        <f>'P&amp;L Summary'!D7</f>
        <v>844845</v>
      </c>
      <c r="I8" s="81">
        <f>'P&amp;L Summary'!Q7</f>
        <v>840000</v>
      </c>
      <c r="J8" s="82">
        <f>I8-H8</f>
        <v>-4845</v>
      </c>
      <c r="K8" s="85" t="str">
        <f>IF(J8&gt;0,"Unfav","Fav")</f>
        <v>Fav</v>
      </c>
      <c r="L8" s="83">
        <f>J8/H8</f>
        <v>-5.7347797524989787E-3</v>
      </c>
      <c r="N8" s="80">
        <f>'P&amp;L Summary'!E7</f>
        <v>1013814</v>
      </c>
      <c r="O8" s="81">
        <f>'P&amp;L Summary'!R7</f>
        <v>1040000</v>
      </c>
      <c r="P8" s="82">
        <f>O8-N8</f>
        <v>26186</v>
      </c>
      <c r="Q8" s="85" t="str">
        <f>IF(P8&gt;0,"Unfav","Fav")</f>
        <v>Unfav</v>
      </c>
      <c r="R8" s="83">
        <f>P8/N8</f>
        <v>2.5829195493453434E-2</v>
      </c>
      <c r="T8" s="78">
        <f t="shared" si="0"/>
        <v>2745746.25</v>
      </c>
      <c r="U8" s="78">
        <f t="shared" si="0"/>
        <v>2738000</v>
      </c>
      <c r="V8" s="78">
        <f t="shared" si="0"/>
        <v>-7746.25</v>
      </c>
      <c r="W8" s="72" t="str">
        <f>IF(V8&gt;0,"Unfav","Fav")</f>
        <v>Fav</v>
      </c>
      <c r="X8" s="89">
        <f>V8/T8</f>
        <v>-2.8211820374879873E-3</v>
      </c>
    </row>
    <row r="9" spans="1:24" ht="17" customHeight="1" x14ac:dyDescent="0.2">
      <c r="A9" s="84" t="s">
        <v>17</v>
      </c>
      <c r="B9" s="80">
        <f>'P&amp;L Summary'!C8</f>
        <v>1090587.75</v>
      </c>
      <c r="C9" s="81">
        <f>'P&amp;L Summary'!P8</f>
        <v>1042000</v>
      </c>
      <c r="D9" s="82">
        <f>C9-B9</f>
        <v>-48587.75</v>
      </c>
      <c r="E9" s="85" t="str">
        <f>IF(D9&lt;0,"Unfav","Fav")</f>
        <v>Unfav</v>
      </c>
      <c r="F9" s="83">
        <f>D9/B9</f>
        <v>-4.4551894150654088E-2</v>
      </c>
      <c r="H9" s="80">
        <f>'P&amp;L Summary'!D8</f>
        <v>1038655</v>
      </c>
      <c r="I9" s="81">
        <f>'P&amp;L Summary'!Q8</f>
        <v>1020000</v>
      </c>
      <c r="J9" s="82">
        <f>I9-H9</f>
        <v>-18655</v>
      </c>
      <c r="K9" s="85" t="str">
        <f>IF(J9&lt;0,"Unfav","Fav")</f>
        <v>Unfav</v>
      </c>
      <c r="L9" s="83">
        <f>J9/H9</f>
        <v>-1.7960728056958277E-2</v>
      </c>
      <c r="N9" s="80">
        <f>'P&amp;L Summary'!E8</f>
        <v>1246386</v>
      </c>
      <c r="O9" s="81">
        <f>'P&amp;L Summary'!R8</f>
        <v>1240000</v>
      </c>
      <c r="P9" s="82">
        <f>O9-N9</f>
        <v>-6386</v>
      </c>
      <c r="Q9" s="85" t="str">
        <f>IF(P9&lt;0,"Unfav","Fav")</f>
        <v>Unfav</v>
      </c>
      <c r="R9" s="83">
        <f>P9/N9</f>
        <v>-5.1236133910361635E-3</v>
      </c>
      <c r="T9" s="78">
        <f t="shared" si="0"/>
        <v>3375628.75</v>
      </c>
      <c r="U9" s="78">
        <f t="shared" si="0"/>
        <v>3302000</v>
      </c>
      <c r="V9" s="78">
        <f>D9+J9+P9</f>
        <v>-73628.75</v>
      </c>
      <c r="W9" s="72" t="str">
        <f>IF(V9&lt;0,"Unfav","Fav")</f>
        <v>Unfav</v>
      </c>
      <c r="X9" s="89">
        <f>V9/T9</f>
        <v>-2.1811862456734912E-2</v>
      </c>
    </row>
    <row r="10" spans="1:24" ht="17" customHeight="1" x14ac:dyDescent="0.2">
      <c r="A10" s="84" t="s">
        <v>18</v>
      </c>
      <c r="B10" s="86">
        <f>'P&amp;L Summary'!C9</f>
        <v>0.55144942925404827</v>
      </c>
      <c r="C10" s="87">
        <f>'P&amp;L Summary'!P9</f>
        <v>0.54842105263157892</v>
      </c>
      <c r="D10" s="88">
        <f>C10-B10</f>
        <v>-3.0283766224693531E-3</v>
      </c>
      <c r="E10" s="85" t="str">
        <f>IF(D10&lt;0,"Unfav","Fav")</f>
        <v>Unfav</v>
      </c>
      <c r="F10" s="83">
        <f>D10/B10</f>
        <v>-5.4916669812604063E-3</v>
      </c>
      <c r="H10" s="86">
        <f>'P&amp;L Summary'!D9</f>
        <v>0.55144942925404827</v>
      </c>
      <c r="I10" s="87">
        <f>'P&amp;L Summary'!Q9</f>
        <v>0.54838709677419351</v>
      </c>
      <c r="J10" s="88">
        <f>I10-H10</f>
        <v>-3.062332479854768E-3</v>
      </c>
      <c r="K10" s="85" t="str">
        <f>IF(J10&lt;0,"Unfav","Fav")</f>
        <v>Unfav</v>
      </c>
      <c r="L10" s="83">
        <f>J10/H10</f>
        <v>-5.5532426318714648E-3</v>
      </c>
      <c r="N10" s="86">
        <f>'P&amp;L Summary'!E9</f>
        <v>0.55144942925404827</v>
      </c>
      <c r="O10" s="87">
        <f>'P&amp;L Summary'!R9</f>
        <v>0.54385964912280704</v>
      </c>
      <c r="P10" s="88">
        <f>O10-N10</f>
        <v>-7.5897801312412305E-3</v>
      </c>
      <c r="Q10" s="85" t="str">
        <f>IF(P10&lt;0,"Unfav","Fav")</f>
        <v>Unfav</v>
      </c>
      <c r="R10" s="83">
        <f>P10/N10</f>
        <v>-1.3763329380008625E-2</v>
      </c>
      <c r="T10" s="89">
        <f>T9/T7</f>
        <v>0.55144942925404827</v>
      </c>
      <c r="U10" s="89">
        <f t="shared" ref="U10:V10" si="1">U9/U7</f>
        <v>0.54668874172185433</v>
      </c>
      <c r="V10" s="89">
        <f>U10-T10</f>
        <v>-4.7606875321939413E-3</v>
      </c>
      <c r="W10" s="72" t="str">
        <f>IF(V10&lt;0,"Unfav","Fav")</f>
        <v>Unfav</v>
      </c>
      <c r="X10" s="89">
        <f>V10/T10</f>
        <v>-8.6330446268369082E-3</v>
      </c>
    </row>
    <row r="11" spans="1:24" ht="6" customHeight="1" x14ac:dyDescent="0.2"/>
    <row r="12" spans="1:24" ht="17" customHeight="1" x14ac:dyDescent="0.2">
      <c r="A12" s="79" t="s">
        <v>19</v>
      </c>
      <c r="B12" s="80">
        <f>'P&amp;L Summary'!C11</f>
        <v>660268.75</v>
      </c>
      <c r="C12" s="81">
        <f>'P&amp;L Summary'!P11</f>
        <v>685000</v>
      </c>
      <c r="D12" s="82">
        <f>C12-B12</f>
        <v>24731.25</v>
      </c>
      <c r="E12" s="85" t="str">
        <f>IF(D12&gt;0,"Unfav","Fav")</f>
        <v>Unfav</v>
      </c>
      <c r="F12" s="83">
        <f>D12/B12</f>
        <v>3.7456338801435021E-2</v>
      </c>
      <c r="H12" s="80">
        <f>'P&amp;L Summary'!D11</f>
        <v>657875</v>
      </c>
      <c r="I12" s="81">
        <f>'P&amp;L Summary'!Q11</f>
        <v>658000</v>
      </c>
      <c r="J12" s="82">
        <f>I12-H12</f>
        <v>125</v>
      </c>
      <c r="K12" s="85" t="str">
        <f>IF(J12&gt;0,"Unfav","Fav")</f>
        <v>Unfav</v>
      </c>
      <c r="L12" s="88">
        <f>J12/H12</f>
        <v>1.9000570017100514E-4</v>
      </c>
      <c r="N12" s="80">
        <f>'P&amp;L Summary'!E11</f>
        <v>667450</v>
      </c>
      <c r="O12" s="81">
        <f>'P&amp;L Summary'!R11</f>
        <v>710000</v>
      </c>
      <c r="P12" s="82">
        <f>O12-N12</f>
        <v>42550</v>
      </c>
      <c r="Q12" s="85" t="str">
        <f>IF(P12&gt;0,"Unfav","Fav")</f>
        <v>Unfav</v>
      </c>
      <c r="R12" s="83">
        <f>P12/N12</f>
        <v>6.3750093639973027E-2</v>
      </c>
      <c r="T12" s="78">
        <f t="shared" ref="T12:V14" si="2">B12+H12+N12</f>
        <v>1985593.75</v>
      </c>
      <c r="U12" s="78">
        <f t="shared" si="2"/>
        <v>2053000</v>
      </c>
      <c r="V12" s="78">
        <f t="shared" si="2"/>
        <v>67406.25</v>
      </c>
      <c r="W12" s="90" t="str">
        <f>IF(V12&gt;0,"Unfav","Fav")</f>
        <v>Unfav</v>
      </c>
      <c r="X12" s="89">
        <f>V12/T12</f>
        <v>3.3947654196635139E-2</v>
      </c>
    </row>
    <row r="13" spans="1:24" ht="17" customHeight="1" x14ac:dyDescent="0.2">
      <c r="A13" s="84" t="s">
        <v>20</v>
      </c>
      <c r="B13" s="80">
        <f>'P&amp;L Summary'!C12</f>
        <v>430319</v>
      </c>
      <c r="C13" s="81">
        <f>'P&amp;L Summary'!P12</f>
        <v>357000</v>
      </c>
      <c r="D13" s="82">
        <f>C13-B13</f>
        <v>-73319</v>
      </c>
      <c r="E13" s="85" t="str">
        <f>IF(D13&lt;0,"Unfav","Fav")</f>
        <v>Unfav</v>
      </c>
      <c r="F13" s="83">
        <f>D13/B13</f>
        <v>-0.1703829019866657</v>
      </c>
      <c r="H13" s="80">
        <f>'P&amp;L Summary'!D12</f>
        <v>380780</v>
      </c>
      <c r="I13" s="81">
        <f>'P&amp;L Summary'!Q12</f>
        <v>362000</v>
      </c>
      <c r="J13" s="82">
        <f>I13-H13</f>
        <v>-18780</v>
      </c>
      <c r="K13" s="85" t="str">
        <f>IF(J13&lt;0,"Unfav","Fav")</f>
        <v>Unfav</v>
      </c>
      <c r="L13" s="83">
        <f>J13/H13</f>
        <v>-4.9319817217290826E-2</v>
      </c>
      <c r="N13" s="80">
        <f>'P&amp;L Summary'!E12</f>
        <v>578936</v>
      </c>
      <c r="O13" s="81">
        <f>'P&amp;L Summary'!R12</f>
        <v>530000</v>
      </c>
      <c r="P13" s="82">
        <f>O13-N13</f>
        <v>-48936</v>
      </c>
      <c r="Q13" s="85" t="str">
        <f>IF(P13&lt;0,"Unfav","Fav")</f>
        <v>Unfav</v>
      </c>
      <c r="R13" s="83">
        <f>P13/N13</f>
        <v>-8.4527477994113337E-2</v>
      </c>
      <c r="T13" s="78">
        <f t="shared" si="2"/>
        <v>1390035</v>
      </c>
      <c r="U13" s="78">
        <f t="shared" si="2"/>
        <v>1249000</v>
      </c>
      <c r="V13" s="78">
        <f t="shared" si="2"/>
        <v>-141035</v>
      </c>
      <c r="W13" s="90" t="str">
        <f>IF(V13&lt;0,"Unfav","Fav")</f>
        <v>Unfav</v>
      </c>
      <c r="X13" s="89">
        <f>V13/T13</f>
        <v>-0.10146147399166208</v>
      </c>
    </row>
    <row r="14" spans="1:24" ht="17" customHeight="1" x14ac:dyDescent="0.2">
      <c r="A14" s="84" t="s">
        <v>21</v>
      </c>
      <c r="B14" s="86">
        <f>'P&amp;L Summary'!C13</f>
        <v>0.21758832973061804</v>
      </c>
      <c r="C14" s="87">
        <f>'P&amp;L Summary'!P13</f>
        <v>0.18789473684210525</v>
      </c>
      <c r="D14" s="88">
        <f>C14-B14</f>
        <v>-2.9693592888512782E-2</v>
      </c>
      <c r="E14" s="85" t="str">
        <f>IF(D14&lt;0,"Unfav","Fav")</f>
        <v>Unfav</v>
      </c>
      <c r="F14" s="83">
        <f>D14/B14</f>
        <v>-0.13646684509814699</v>
      </c>
      <c r="H14" s="86">
        <f>'P&amp;L Summary'!D13</f>
        <v>0.20216617998407221</v>
      </c>
      <c r="I14" s="87">
        <f>'P&amp;L Summary'!Q13</f>
        <v>0.19462365591397848</v>
      </c>
      <c r="J14" s="88">
        <f>I14-H14</f>
        <v>-7.5425240700937313E-3</v>
      </c>
      <c r="K14" s="85" t="str">
        <f>IF(J14&lt;0,"Unfav","Fav")</f>
        <v>Unfav</v>
      </c>
      <c r="L14" s="83">
        <f>J14/H14</f>
        <v>-3.7308535338047018E-2</v>
      </c>
      <c r="N14" s="86">
        <f>'P&amp;L Summary'!E13</f>
        <v>0.25614370409698256</v>
      </c>
      <c r="O14" s="87">
        <f>'P&amp;L Summary'!R13</f>
        <v>0.23245614035087719</v>
      </c>
      <c r="P14" s="88">
        <f>O14-N14</f>
        <v>-2.3687563746105367E-2</v>
      </c>
      <c r="Q14" s="85" t="str">
        <f>IF(P14&lt;0,"Unfav","Fav")</f>
        <v>Unfav</v>
      </c>
      <c r="R14" s="83">
        <f>P14/N14</f>
        <v>-9.247763410626969E-2</v>
      </c>
      <c r="T14" s="89">
        <f>T13/T7</f>
        <v>0.22707888342080007</v>
      </c>
      <c r="U14" s="89">
        <f>U13/U7</f>
        <v>0.20678807947019867</v>
      </c>
      <c r="V14" s="89">
        <f>U14-T14</f>
        <v>-2.0290803950601399E-2</v>
      </c>
      <c r="W14" s="72" t="str">
        <f>IF(V14&lt;0,"Unfav","Fav")</f>
        <v>Unfav</v>
      </c>
      <c r="X14" s="89">
        <f>V14/T14</f>
        <v>-8.93557500588925E-2</v>
      </c>
    </row>
    <row r="16" spans="1:24" ht="8" customHeight="1" x14ac:dyDescent="0.2"/>
    <row r="17" spans="1:24" ht="18" customHeight="1" x14ac:dyDescent="0.2">
      <c r="A17" s="135" t="s">
        <v>22</v>
      </c>
      <c r="B17" s="130"/>
      <c r="C17" s="130"/>
      <c r="D17" s="130"/>
      <c r="E17" s="130"/>
      <c r="F17" s="130"/>
      <c r="G17" s="130"/>
      <c r="H17" s="130"/>
      <c r="I17" s="130"/>
      <c r="J17" s="130"/>
      <c r="K17" s="130"/>
      <c r="L17" s="130"/>
      <c r="M17" s="130"/>
      <c r="N17" s="130"/>
      <c r="O17" s="130"/>
      <c r="P17" s="130"/>
      <c r="Q17" s="130"/>
      <c r="R17" s="130"/>
      <c r="S17" s="130"/>
      <c r="T17" s="130"/>
      <c r="U17" s="130"/>
      <c r="V17" s="130"/>
      <c r="W17" s="130"/>
      <c r="X17" s="130"/>
    </row>
    <row r="18" spans="1:24" ht="14" customHeight="1" x14ac:dyDescent="0.2">
      <c r="A18" s="131" t="s">
        <v>23</v>
      </c>
      <c r="B18" s="130"/>
      <c r="C18" s="130"/>
      <c r="D18" s="130"/>
      <c r="E18" s="130"/>
      <c r="F18" s="130"/>
      <c r="G18" s="130"/>
      <c r="H18" s="130"/>
      <c r="I18" s="130"/>
      <c r="J18" s="130"/>
      <c r="K18" s="130"/>
      <c r="L18" s="130"/>
      <c r="M18" s="130"/>
      <c r="N18" s="130"/>
      <c r="O18" s="130"/>
      <c r="P18" s="130"/>
      <c r="Q18" s="130"/>
      <c r="R18" s="130"/>
      <c r="S18" s="130"/>
      <c r="T18" s="130"/>
      <c r="U18" s="130"/>
      <c r="V18" s="130"/>
      <c r="W18" s="130"/>
      <c r="X18" s="130"/>
    </row>
    <row r="19" spans="1:24" ht="50" customHeight="1" x14ac:dyDescent="0.2">
      <c r="A19" s="129" t="s">
        <v>24</v>
      </c>
      <c r="B19" s="130"/>
      <c r="C19" s="130"/>
      <c r="D19" s="130"/>
      <c r="E19" s="130"/>
      <c r="F19" s="130"/>
      <c r="G19" s="130"/>
      <c r="H19" s="130"/>
      <c r="I19" s="130"/>
      <c r="J19" s="130"/>
      <c r="K19" s="130"/>
      <c r="L19" s="130"/>
      <c r="M19" s="130"/>
      <c r="N19" s="130"/>
      <c r="O19" s="130"/>
      <c r="P19" s="130"/>
      <c r="Q19" s="130"/>
      <c r="R19" s="130"/>
      <c r="S19" s="130"/>
      <c r="T19" s="130"/>
      <c r="U19" s="130"/>
      <c r="V19" s="130"/>
      <c r="W19" s="130"/>
      <c r="X19" s="130"/>
    </row>
    <row r="20" spans="1:24" ht="50" customHeight="1" x14ac:dyDescent="0.2">
      <c r="A20" s="129" t="s">
        <v>25</v>
      </c>
      <c r="B20" s="130"/>
      <c r="C20" s="130"/>
      <c r="D20" s="130"/>
      <c r="E20" s="130"/>
      <c r="F20" s="130"/>
      <c r="G20" s="130"/>
      <c r="H20" s="130"/>
      <c r="I20" s="130"/>
      <c r="J20" s="130"/>
      <c r="K20" s="130"/>
      <c r="L20" s="130"/>
      <c r="M20" s="130"/>
      <c r="N20" s="130"/>
      <c r="O20" s="130"/>
      <c r="P20" s="130"/>
      <c r="Q20" s="130"/>
      <c r="R20" s="130"/>
      <c r="S20" s="130"/>
      <c r="T20" s="130"/>
      <c r="U20" s="130"/>
      <c r="V20" s="130"/>
      <c r="W20" s="130"/>
      <c r="X20" s="130"/>
    </row>
  </sheetData>
  <mergeCells count="10">
    <mergeCell ref="A1:X1"/>
    <mergeCell ref="H5:L5"/>
    <mergeCell ref="N5:R5"/>
    <mergeCell ref="A17:X17"/>
    <mergeCell ref="A18:X18"/>
    <mergeCell ref="A20:X20"/>
    <mergeCell ref="A2:X2"/>
    <mergeCell ref="B5:F5"/>
    <mergeCell ref="T5:X5"/>
    <mergeCell ref="A19:X19"/>
  </mergeCells>
  <conditionalFormatting sqref="E7:E10 E12:E14">
    <cfRule type="containsText" dxfId="14" priority="12" operator="containsText" text="Fav">
      <formula>NOT(ISERROR(SEARCH("Fav",E7)))</formula>
    </cfRule>
  </conditionalFormatting>
  <conditionalFormatting sqref="E7:E10 K7:K10 Q7:Q10 W7:W10 E12:E14 K12:K14 Q12:Q14 W12:W14">
    <cfRule type="expression" dxfId="13" priority="2">
      <formula>XEQ2="Unfav"</formula>
    </cfRule>
    <cfRule type="expression" dxfId="12" priority="3">
      <formula>XEQ2="Fav"</formula>
    </cfRule>
  </conditionalFormatting>
  <conditionalFormatting sqref="E7:E14">
    <cfRule type="containsText" dxfId="11" priority="11" operator="containsText" text="Unfav">
      <formula>NOT(ISERROR(SEARCH("Unfav",E7)))</formula>
    </cfRule>
  </conditionalFormatting>
  <conditionalFormatting sqref="K7">
    <cfRule type="containsText" dxfId="10" priority="10" operator="containsText" text="Fav">
      <formula>NOT(ISERROR(SEARCH("Fav",K7)))</formula>
    </cfRule>
  </conditionalFormatting>
  <conditionalFormatting sqref="K7:K10 K12:K14">
    <cfRule type="containsText" dxfId="9" priority="8" operator="containsText" text="Unfav">
      <formula>NOT(ISERROR(SEARCH("Unfav",K7)))</formula>
    </cfRule>
  </conditionalFormatting>
  <conditionalFormatting sqref="K8:K10 K12:K14">
    <cfRule type="containsText" dxfId="8" priority="9" stopIfTrue="1" operator="containsText" text="Fav">
      <formula>NOT(ISERROR(SEARCH("Fav",K8)))</formula>
    </cfRule>
  </conditionalFormatting>
  <conditionalFormatting sqref="Q7:Q10 W7:W10 Q12:Q14 W12:W14">
    <cfRule type="containsText" dxfId="7" priority="4" operator="containsText" text="Unfav">
      <formula>NOT(ISERROR(SEARCH("Unfav",Q7)))</formula>
    </cfRule>
    <cfRule type="containsText" dxfId="6" priority="5" operator="containsText" text="Fav">
      <formula>NOT(ISERROR(SEARCH("Fav",Q7)))</formula>
    </cfRule>
  </conditionalFormatting>
  <conditionalFormatting sqref="W13">
    <cfRule type="expression" dxfId="5" priority="1">
      <formula>$W$13="Unfav"</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30A0"/>
  </sheetPr>
  <dimension ref="A1:N14"/>
  <sheetViews>
    <sheetView workbookViewId="0">
      <pane xSplit="1" ySplit="6" topLeftCell="B7" activePane="bottomRight" state="frozen"/>
      <selection pane="topRight"/>
      <selection pane="bottomLeft"/>
      <selection pane="bottomRight" activeCell="N21" sqref="N21"/>
    </sheetView>
  </sheetViews>
  <sheetFormatPr baseColWidth="10" defaultColWidth="8.83203125" defaultRowHeight="15" x14ac:dyDescent="0.2"/>
  <cols>
    <col min="1" max="1" width="24" customWidth="1"/>
    <col min="2" max="13" width="13" customWidth="1"/>
    <col min="14" max="14" width="14" customWidth="1"/>
  </cols>
  <sheetData>
    <row r="1" spans="1:14" ht="24" customHeight="1" x14ac:dyDescent="0.2">
      <c r="A1" s="152" t="s">
        <v>149</v>
      </c>
      <c r="B1" s="130"/>
      <c r="C1" s="130"/>
      <c r="D1" s="130"/>
      <c r="E1" s="130"/>
      <c r="F1" s="130"/>
      <c r="G1" s="130"/>
      <c r="H1" s="130"/>
      <c r="I1" s="130"/>
      <c r="J1" s="130"/>
      <c r="K1" s="130"/>
      <c r="L1" s="130"/>
      <c r="M1" s="130"/>
      <c r="N1" s="130"/>
    </row>
    <row r="2" spans="1:14" ht="28" customHeight="1" x14ac:dyDescent="0.2">
      <c r="A2" s="151" t="s">
        <v>150</v>
      </c>
      <c r="B2" s="130"/>
      <c r="C2" s="130"/>
      <c r="D2" s="130"/>
      <c r="E2" s="130"/>
      <c r="F2" s="130"/>
      <c r="G2" s="130"/>
      <c r="H2" s="130"/>
      <c r="I2" s="130"/>
      <c r="J2" s="130"/>
      <c r="K2" s="130"/>
      <c r="L2" s="130"/>
      <c r="M2" s="130"/>
      <c r="N2" s="130"/>
    </row>
    <row r="3" spans="1:14" ht="14" customHeight="1" x14ac:dyDescent="0.2">
      <c r="A3" s="91" t="s">
        <v>2</v>
      </c>
      <c r="B3" s="92" t="s">
        <v>151</v>
      </c>
      <c r="C3" s="93" t="s">
        <v>152</v>
      </c>
      <c r="E3" s="94" t="s">
        <v>153</v>
      </c>
    </row>
    <row r="4" spans="1:14" ht="8" customHeight="1" x14ac:dyDescent="0.2"/>
    <row r="5" spans="1:14" ht="20" customHeight="1" x14ac:dyDescent="0.2">
      <c r="A5" s="95" t="s">
        <v>131</v>
      </c>
      <c r="B5" s="96" t="s">
        <v>146</v>
      </c>
      <c r="C5" s="96" t="s">
        <v>147</v>
      </c>
      <c r="D5" s="96" t="s">
        <v>148</v>
      </c>
      <c r="E5" s="97" t="s">
        <v>154</v>
      </c>
      <c r="F5" s="97" t="s">
        <v>155</v>
      </c>
      <c r="G5" s="97" t="s">
        <v>156</v>
      </c>
      <c r="H5" s="97" t="s">
        <v>157</v>
      </c>
      <c r="I5" s="97" t="s">
        <v>158</v>
      </c>
      <c r="J5" s="97" t="s">
        <v>159</v>
      </c>
      <c r="K5" s="97" t="s">
        <v>160</v>
      </c>
      <c r="L5" s="97" t="s">
        <v>161</v>
      </c>
      <c r="M5" s="97" t="s">
        <v>162</v>
      </c>
      <c r="N5" s="98" t="s">
        <v>163</v>
      </c>
    </row>
    <row r="6" spans="1:14" ht="20" customHeight="1" x14ac:dyDescent="0.2">
      <c r="E6" s="150" t="s">
        <v>164</v>
      </c>
      <c r="F6" s="130"/>
      <c r="G6" s="130"/>
      <c r="H6" s="130"/>
      <c r="I6" s="130"/>
      <c r="J6" s="130"/>
      <c r="K6" s="130"/>
      <c r="L6" s="130"/>
      <c r="M6" s="130"/>
      <c r="N6" s="130"/>
    </row>
    <row r="7" spans="1:14" ht="17" customHeight="1" x14ac:dyDescent="0.2">
      <c r="A7" s="99" t="s">
        <v>15</v>
      </c>
      <c r="B7" s="100">
        <v>1900000</v>
      </c>
      <c r="C7" s="100">
        <v>1860000</v>
      </c>
      <c r="D7" s="100">
        <v>2280000</v>
      </c>
      <c r="E7" s="101">
        <f>'Revenue Build'!F39</f>
        <v>1695150</v>
      </c>
      <c r="F7" s="101">
        <f>'Revenue Build'!G39</f>
        <v>1883500</v>
      </c>
      <c r="G7" s="101">
        <f>'Revenue Build'!H39</f>
        <v>1600975</v>
      </c>
      <c r="H7" s="101">
        <f>'Revenue Build'!I39</f>
        <v>1506800</v>
      </c>
      <c r="I7" s="101">
        <f>'Revenue Build'!J39</f>
        <v>1600975</v>
      </c>
      <c r="J7" s="101">
        <f>'Revenue Build'!K39</f>
        <v>1977675</v>
      </c>
      <c r="K7" s="101">
        <f>'Revenue Build'!L39</f>
        <v>1977675</v>
      </c>
      <c r="L7" s="101">
        <f>'Revenue Build'!M39</f>
        <v>2071850</v>
      </c>
      <c r="M7" s="101">
        <f>'Revenue Build'!N39</f>
        <v>2166025</v>
      </c>
      <c r="N7" s="102">
        <f>SUM(B7:M7)</f>
        <v>22520625</v>
      </c>
    </row>
    <row r="8" spans="1:14" ht="17" customHeight="1" x14ac:dyDescent="0.2">
      <c r="A8" s="103" t="s">
        <v>16</v>
      </c>
      <c r="B8" s="104">
        <v>858000</v>
      </c>
      <c r="C8" s="104">
        <v>840000</v>
      </c>
      <c r="D8" s="104">
        <v>1040000</v>
      </c>
      <c r="E8" s="105">
        <f>'COGS Build'!F26</f>
        <v>760360.5</v>
      </c>
      <c r="F8" s="105">
        <f>'COGS Build'!G26</f>
        <v>844845</v>
      </c>
      <c r="G8" s="105">
        <f>'COGS Build'!H26</f>
        <v>718118.25</v>
      </c>
      <c r="H8" s="105">
        <f>'COGS Build'!I26</f>
        <v>675876</v>
      </c>
      <c r="I8" s="105">
        <f>'COGS Build'!J26</f>
        <v>718118.25</v>
      </c>
      <c r="J8" s="105">
        <f>'COGS Build'!K26</f>
        <v>887087.25</v>
      </c>
      <c r="K8" s="105">
        <f>'COGS Build'!L26</f>
        <v>887087.25</v>
      </c>
      <c r="L8" s="105">
        <f>'COGS Build'!M26</f>
        <v>929329.5</v>
      </c>
      <c r="M8" s="105">
        <f>'COGS Build'!N26</f>
        <v>971571.75</v>
      </c>
      <c r="N8" s="102">
        <f t="shared" ref="N8:N9" si="0">SUM(B8:M8)</f>
        <v>10130393.75</v>
      </c>
    </row>
    <row r="9" spans="1:14" ht="17" customHeight="1" x14ac:dyDescent="0.2">
      <c r="A9" s="106" t="s">
        <v>17</v>
      </c>
      <c r="B9" s="101">
        <f>B7-B8</f>
        <v>1042000</v>
      </c>
      <c r="C9" s="101">
        <f t="shared" ref="C9:M9" si="1">C7-C8</f>
        <v>1020000</v>
      </c>
      <c r="D9" s="101">
        <f t="shared" si="1"/>
        <v>1240000</v>
      </c>
      <c r="E9" s="101">
        <f t="shared" si="1"/>
        <v>934789.5</v>
      </c>
      <c r="F9" s="101">
        <f t="shared" si="1"/>
        <v>1038655</v>
      </c>
      <c r="G9" s="101">
        <f t="shared" si="1"/>
        <v>882856.75</v>
      </c>
      <c r="H9" s="101">
        <f t="shared" si="1"/>
        <v>830924</v>
      </c>
      <c r="I9" s="101">
        <f t="shared" si="1"/>
        <v>882856.75</v>
      </c>
      <c r="J9" s="101">
        <f t="shared" si="1"/>
        <v>1090587.75</v>
      </c>
      <c r="K9" s="101">
        <f t="shared" si="1"/>
        <v>1090587.75</v>
      </c>
      <c r="L9" s="101">
        <f t="shared" si="1"/>
        <v>1142520.5</v>
      </c>
      <c r="M9" s="101">
        <f t="shared" si="1"/>
        <v>1194453.25</v>
      </c>
      <c r="N9" s="102">
        <f t="shared" si="0"/>
        <v>12390231.25</v>
      </c>
    </row>
    <row r="10" spans="1:14" ht="17" customHeight="1" x14ac:dyDescent="0.2">
      <c r="A10" s="106" t="s">
        <v>18</v>
      </c>
      <c r="B10" s="107">
        <f>B9/B7</f>
        <v>0.54842105263157892</v>
      </c>
      <c r="C10" s="107">
        <f t="shared" ref="C10:M10" si="2">C9/C7</f>
        <v>0.54838709677419351</v>
      </c>
      <c r="D10" s="107">
        <f t="shared" si="2"/>
        <v>0.54385964912280704</v>
      </c>
      <c r="E10" s="107">
        <f t="shared" si="2"/>
        <v>0.55144942925404827</v>
      </c>
      <c r="F10" s="107">
        <f t="shared" si="2"/>
        <v>0.55144942925404827</v>
      </c>
      <c r="G10" s="107">
        <f t="shared" si="2"/>
        <v>0.55144942925404827</v>
      </c>
      <c r="H10" s="107">
        <f t="shared" si="2"/>
        <v>0.55144942925404827</v>
      </c>
      <c r="I10" s="107">
        <f t="shared" si="2"/>
        <v>0.55144942925404827</v>
      </c>
      <c r="J10" s="107">
        <f t="shared" si="2"/>
        <v>0.55144942925404827</v>
      </c>
      <c r="K10" s="107">
        <f t="shared" si="2"/>
        <v>0.55144942925404827</v>
      </c>
      <c r="L10" s="107">
        <f t="shared" si="2"/>
        <v>0.55144942925404827</v>
      </c>
      <c r="M10" s="107">
        <f t="shared" si="2"/>
        <v>0.55144942925404827</v>
      </c>
      <c r="N10" s="155">
        <f>N9/N7</f>
        <v>0.55017261954319652</v>
      </c>
    </row>
    <row r="11" spans="1:14" ht="6" customHeight="1" x14ac:dyDescent="0.2"/>
    <row r="12" spans="1:14" ht="17" customHeight="1" x14ac:dyDescent="0.2">
      <c r="A12" s="103" t="s">
        <v>19</v>
      </c>
      <c r="B12" s="104">
        <v>685000</v>
      </c>
      <c r="C12" s="104">
        <v>658000</v>
      </c>
      <c r="D12" s="104">
        <v>710000</v>
      </c>
      <c r="E12" s="105">
        <f>'OpEx Detail'!F23</f>
        <v>653087.5</v>
      </c>
      <c r="F12" s="105">
        <f>'OpEx Detail'!G23</f>
        <v>657875</v>
      </c>
      <c r="G12" s="105">
        <f>'OpEx Detail'!H23</f>
        <v>650693.75</v>
      </c>
      <c r="H12" s="105">
        <f>'OpEx Detail'!I23</f>
        <v>648300</v>
      </c>
      <c r="I12" s="105">
        <f>'OpEx Detail'!J23</f>
        <v>650693.75</v>
      </c>
      <c r="J12" s="105">
        <f>'OpEx Detail'!K23</f>
        <v>660268.75</v>
      </c>
      <c r="K12" s="105">
        <f>'OpEx Detail'!L23</f>
        <v>660268.75</v>
      </c>
      <c r="L12" s="105">
        <f>'OpEx Detail'!M23</f>
        <v>662662.5</v>
      </c>
      <c r="M12" s="105">
        <f>'OpEx Detail'!N23</f>
        <v>665056.25</v>
      </c>
      <c r="N12" s="102">
        <f>SUM(B12:M12)</f>
        <v>7961906.25</v>
      </c>
    </row>
    <row r="13" spans="1:14" ht="17" customHeight="1" x14ac:dyDescent="0.2">
      <c r="A13" s="106" t="s">
        <v>20</v>
      </c>
      <c r="B13" s="101">
        <f>B9-B12</f>
        <v>357000</v>
      </c>
      <c r="C13" s="101">
        <f t="shared" ref="C13:M13" si="3">C9-C12</f>
        <v>362000</v>
      </c>
      <c r="D13" s="101">
        <f t="shared" si="3"/>
        <v>530000</v>
      </c>
      <c r="E13" s="101">
        <f t="shared" si="3"/>
        <v>281702</v>
      </c>
      <c r="F13" s="101">
        <f t="shared" si="3"/>
        <v>380780</v>
      </c>
      <c r="G13" s="101">
        <f t="shared" si="3"/>
        <v>232163</v>
      </c>
      <c r="H13" s="101">
        <f t="shared" si="3"/>
        <v>182624</v>
      </c>
      <c r="I13" s="101">
        <f t="shared" si="3"/>
        <v>232163</v>
      </c>
      <c r="J13" s="101">
        <f t="shared" si="3"/>
        <v>430319</v>
      </c>
      <c r="K13" s="101">
        <f t="shared" si="3"/>
        <v>430319</v>
      </c>
      <c r="L13" s="101">
        <f t="shared" si="3"/>
        <v>479858</v>
      </c>
      <c r="M13" s="101">
        <f t="shared" si="3"/>
        <v>529397</v>
      </c>
      <c r="N13" s="102">
        <f>SUM(B13:M13)</f>
        <v>4428325</v>
      </c>
    </row>
    <row r="14" spans="1:14" ht="17" customHeight="1" x14ac:dyDescent="0.2">
      <c r="A14" s="106" t="s">
        <v>21</v>
      </c>
      <c r="B14" s="107">
        <f>B13/B7</f>
        <v>0.18789473684210525</v>
      </c>
      <c r="C14" s="107">
        <f t="shared" ref="C14:M14" si="4">C13/C7</f>
        <v>0.19462365591397848</v>
      </c>
      <c r="D14" s="107">
        <f t="shared" si="4"/>
        <v>0.23245614035087719</v>
      </c>
      <c r="E14" s="107">
        <f t="shared" si="4"/>
        <v>0.16618116390879864</v>
      </c>
      <c r="F14" s="107">
        <f t="shared" si="4"/>
        <v>0.20216617998407221</v>
      </c>
      <c r="G14" s="107">
        <f t="shared" si="4"/>
        <v>0.14501350739393182</v>
      </c>
      <c r="H14" s="107">
        <f t="shared" si="4"/>
        <v>0.12119989381470667</v>
      </c>
      <c r="I14" s="107">
        <f t="shared" si="4"/>
        <v>0.14501350739393182</v>
      </c>
      <c r="J14" s="107">
        <f t="shared" si="4"/>
        <v>0.21758832973061804</v>
      </c>
      <c r="K14" s="107">
        <f t="shared" si="4"/>
        <v>0.21758832973061804</v>
      </c>
      <c r="L14" s="107">
        <f t="shared" si="4"/>
        <v>0.23160846586384148</v>
      </c>
      <c r="M14" s="107">
        <f t="shared" si="4"/>
        <v>0.24440945972461076</v>
      </c>
      <c r="N14" s="108">
        <f>N13/N7</f>
        <v>0.19663419643104932</v>
      </c>
    </row>
  </sheetData>
  <mergeCells count="3">
    <mergeCell ref="E6:N6"/>
    <mergeCell ref="A2:N2"/>
    <mergeCell ref="A1:N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D7D31"/>
  </sheetPr>
  <dimension ref="A1:G21"/>
  <sheetViews>
    <sheetView workbookViewId="0">
      <pane xSplit="1" ySplit="13" topLeftCell="B14" activePane="bottomRight" state="frozen"/>
      <selection pane="topRight"/>
      <selection pane="bottomLeft"/>
      <selection pane="bottomRight" activeCell="C16" sqref="C16"/>
    </sheetView>
  </sheetViews>
  <sheetFormatPr baseColWidth="10" defaultColWidth="8.83203125" defaultRowHeight="15" x14ac:dyDescent="0.2"/>
  <cols>
    <col min="1" max="1" width="30" customWidth="1"/>
    <col min="2" max="4" width="18" customWidth="1"/>
    <col min="5" max="5" width="3" customWidth="1"/>
    <col min="6" max="7" width="18" customWidth="1"/>
  </cols>
  <sheetData>
    <row r="1" spans="1:7" ht="24" customHeight="1" x14ac:dyDescent="0.2">
      <c r="A1" s="152" t="s">
        <v>165</v>
      </c>
      <c r="B1" s="130"/>
      <c r="C1" s="130"/>
      <c r="D1" s="130"/>
      <c r="E1" s="130"/>
      <c r="F1" s="130"/>
      <c r="G1" s="130"/>
    </row>
    <row r="2" spans="1:7" ht="28" customHeight="1" x14ac:dyDescent="0.2">
      <c r="A2" s="151" t="s">
        <v>166</v>
      </c>
      <c r="B2" s="130"/>
      <c r="C2" s="130"/>
      <c r="D2" s="130"/>
      <c r="E2" s="130"/>
      <c r="F2" s="130"/>
      <c r="G2" s="130"/>
    </row>
    <row r="3" spans="1:7" ht="8" customHeight="1" x14ac:dyDescent="0.2"/>
    <row r="4" spans="1:7" ht="18" customHeight="1" x14ac:dyDescent="0.2">
      <c r="A4" s="153" t="s">
        <v>167</v>
      </c>
      <c r="B4" s="130"/>
      <c r="C4" s="130"/>
      <c r="D4" s="130"/>
      <c r="E4" s="130"/>
      <c r="F4" s="130"/>
      <c r="G4" s="130"/>
    </row>
    <row r="5" spans="1:7" ht="16" customHeight="1" x14ac:dyDescent="0.2">
      <c r="A5" s="95" t="s">
        <v>168</v>
      </c>
      <c r="B5" s="109" t="s">
        <v>169</v>
      </c>
      <c r="C5" s="110" t="s">
        <v>170</v>
      </c>
      <c r="D5" s="111" t="s">
        <v>171</v>
      </c>
    </row>
    <row r="6" spans="1:7" ht="17" customHeight="1" x14ac:dyDescent="0.2">
      <c r="A6" s="103" t="s">
        <v>172</v>
      </c>
      <c r="B6" s="112">
        <f>'P&amp;L Summary'!O6</f>
        <v>22602000</v>
      </c>
      <c r="C6" s="105">
        <f>$B$6+($B$6*C7)</f>
        <v>23732100</v>
      </c>
      <c r="D6" s="113">
        <f>$B$6+($B$6*D7)</f>
        <v>21471900</v>
      </c>
      <c r="F6" s="150" t="s">
        <v>173</v>
      </c>
      <c r="G6" s="130"/>
    </row>
    <row r="7" spans="1:7" ht="17" customHeight="1" x14ac:dyDescent="0.2">
      <c r="A7" s="103" t="s">
        <v>174</v>
      </c>
      <c r="B7" s="114">
        <v>0</v>
      </c>
      <c r="C7" s="115">
        <v>0.05</v>
      </c>
      <c r="D7" s="116">
        <v>-0.05</v>
      </c>
      <c r="F7" s="150" t="s">
        <v>175</v>
      </c>
      <c r="G7" s="130"/>
    </row>
    <row r="8" spans="1:7" ht="17" customHeight="1" x14ac:dyDescent="0.2">
      <c r="A8" s="103" t="s">
        <v>176</v>
      </c>
      <c r="B8" s="114">
        <f>'P&amp;L Summary'!O7/'P&amp;L Summary'!O6</f>
        <v>0.44855057074595167</v>
      </c>
      <c r="C8" s="115">
        <v>0.42</v>
      </c>
      <c r="D8" s="116">
        <v>0.47</v>
      </c>
      <c r="F8" s="150" t="s">
        <v>177</v>
      </c>
      <c r="G8" s="130"/>
    </row>
    <row r="9" spans="1:7" ht="17" customHeight="1" x14ac:dyDescent="0.2">
      <c r="A9" s="103" t="s">
        <v>178</v>
      </c>
      <c r="B9" s="112">
        <f>'P&amp;L Summary'!O11</f>
        <v>7894500</v>
      </c>
      <c r="C9" s="105">
        <f>$B$9+($B$9*C10)</f>
        <v>7736610</v>
      </c>
      <c r="D9" s="113">
        <f>$B$9+($B$9*D10)</f>
        <v>8289225</v>
      </c>
      <c r="F9" s="150" t="s">
        <v>179</v>
      </c>
      <c r="G9" s="130"/>
    </row>
    <row r="10" spans="1:7" ht="17" customHeight="1" x14ac:dyDescent="0.2">
      <c r="A10" s="103" t="s">
        <v>180</v>
      </c>
      <c r="B10" s="114">
        <v>0</v>
      </c>
      <c r="C10" s="115">
        <v>-0.02</v>
      </c>
      <c r="D10" s="116">
        <v>0.05</v>
      </c>
      <c r="F10" s="150" t="s">
        <v>181</v>
      </c>
      <c r="G10" s="130"/>
    </row>
    <row r="11" spans="1:7" ht="8" customHeight="1" x14ac:dyDescent="0.2"/>
    <row r="12" spans="1:7" ht="18" customHeight="1" x14ac:dyDescent="0.2">
      <c r="A12" s="153" t="s">
        <v>182</v>
      </c>
      <c r="B12" s="130"/>
      <c r="C12" s="130"/>
      <c r="D12" s="130"/>
      <c r="E12" s="130"/>
      <c r="F12" s="130"/>
      <c r="G12" s="130"/>
    </row>
    <row r="13" spans="1:7" ht="16" customHeight="1" x14ac:dyDescent="0.2">
      <c r="A13" s="95" t="s">
        <v>131</v>
      </c>
      <c r="B13" s="109" t="s">
        <v>169</v>
      </c>
      <c r="C13" s="110" t="s">
        <v>170</v>
      </c>
      <c r="D13" s="111" t="s">
        <v>171</v>
      </c>
      <c r="F13" s="110" t="s">
        <v>183</v>
      </c>
      <c r="G13" s="111" t="s">
        <v>184</v>
      </c>
    </row>
    <row r="14" spans="1:7" ht="17" customHeight="1" x14ac:dyDescent="0.2">
      <c r="A14" s="99" t="s">
        <v>15</v>
      </c>
      <c r="B14" s="156">
        <f>B6</f>
        <v>22602000</v>
      </c>
      <c r="C14" s="157">
        <f t="shared" ref="C14:D14" si="0">C6</f>
        <v>23732100</v>
      </c>
      <c r="D14" s="118">
        <f t="shared" si="0"/>
        <v>21471900</v>
      </c>
      <c r="F14" s="101">
        <f>C14-B14</f>
        <v>1130100</v>
      </c>
      <c r="G14" s="118">
        <f>D14-B14</f>
        <v>-1130100</v>
      </c>
    </row>
    <row r="15" spans="1:7" ht="17" customHeight="1" x14ac:dyDescent="0.2">
      <c r="A15" s="103" t="s">
        <v>16</v>
      </c>
      <c r="B15" s="112">
        <f>B14*B8</f>
        <v>10138140</v>
      </c>
      <c r="C15" s="105">
        <f>C14*C8</f>
        <v>9967482</v>
      </c>
      <c r="D15" s="113">
        <f>D14*D8</f>
        <v>10091793</v>
      </c>
      <c r="F15" s="101">
        <f>C15-B15</f>
        <v>-170658</v>
      </c>
      <c r="G15" s="118">
        <f>D15-B15</f>
        <v>-46347</v>
      </c>
    </row>
    <row r="16" spans="1:7" ht="17" customHeight="1" x14ac:dyDescent="0.2">
      <c r="A16" s="106" t="s">
        <v>17</v>
      </c>
      <c r="B16" s="117">
        <f>B14-B15</f>
        <v>12463860</v>
      </c>
      <c r="C16" s="101">
        <f>C14-C15</f>
        <v>13764618</v>
      </c>
      <c r="D16" s="118">
        <f>D14-D15</f>
        <v>11380107</v>
      </c>
      <c r="F16" s="101">
        <f>C16-B16</f>
        <v>1300758</v>
      </c>
      <c r="G16" s="118">
        <f t="shared" ref="G15:G16" si="1">D16-B16</f>
        <v>-1083753</v>
      </c>
    </row>
    <row r="17" spans="1:7" ht="17" customHeight="1" x14ac:dyDescent="0.2">
      <c r="A17" s="106" t="s">
        <v>18</v>
      </c>
      <c r="B17" s="119">
        <f>B16/B14</f>
        <v>0.55144942925404827</v>
      </c>
      <c r="C17" s="107">
        <f t="shared" ref="C17:D17" si="2">C16/C14</f>
        <v>0.57999999999999996</v>
      </c>
      <c r="D17" s="120">
        <f t="shared" si="2"/>
        <v>0.53</v>
      </c>
    </row>
    <row r="18" spans="1:7" ht="6" customHeight="1" x14ac:dyDescent="0.2"/>
    <row r="19" spans="1:7" ht="17" customHeight="1" x14ac:dyDescent="0.2">
      <c r="A19" s="103" t="s">
        <v>19</v>
      </c>
      <c r="B19" s="112">
        <f>B9</f>
        <v>7894500</v>
      </c>
      <c r="C19" s="105">
        <f t="shared" ref="C19:D19" si="3">C9</f>
        <v>7736610</v>
      </c>
      <c r="D19" s="113">
        <f t="shared" si="3"/>
        <v>8289225</v>
      </c>
      <c r="F19" s="105">
        <f>C19-B19</f>
        <v>-157890</v>
      </c>
      <c r="G19" s="113">
        <f>D19-B19</f>
        <v>394725</v>
      </c>
    </row>
    <row r="20" spans="1:7" ht="17" customHeight="1" x14ac:dyDescent="0.2">
      <c r="A20" s="106" t="s">
        <v>20</v>
      </c>
      <c r="B20" s="117">
        <f>B16-B19</f>
        <v>4569360</v>
      </c>
      <c r="C20" s="101">
        <f t="shared" ref="C20:D20" si="4">C16-C19</f>
        <v>6028008</v>
      </c>
      <c r="D20" s="118">
        <f t="shared" si="4"/>
        <v>3090882</v>
      </c>
      <c r="F20" s="105">
        <f>C20-B20</f>
        <v>1458648</v>
      </c>
      <c r="G20" s="113">
        <f>D20-B20</f>
        <v>-1478478</v>
      </c>
    </row>
    <row r="21" spans="1:7" ht="17" customHeight="1" x14ac:dyDescent="0.2">
      <c r="A21" s="106" t="s">
        <v>21</v>
      </c>
      <c r="B21" s="119">
        <f>B20/B14</f>
        <v>0.20216617998407221</v>
      </c>
      <c r="C21" s="107">
        <f t="shared" ref="C21:D21" si="5">C20/C14</f>
        <v>0.25400230068135565</v>
      </c>
      <c r="D21" s="120">
        <f t="shared" si="5"/>
        <v>0.14395009291213168</v>
      </c>
    </row>
  </sheetData>
  <mergeCells count="9">
    <mergeCell ref="A1:G1"/>
    <mergeCell ref="F10:G10"/>
    <mergeCell ref="A12:G12"/>
    <mergeCell ref="A4:G4"/>
    <mergeCell ref="A2:G2"/>
    <mergeCell ref="F6:G6"/>
    <mergeCell ref="F9:G9"/>
    <mergeCell ref="F7:G7"/>
    <mergeCell ref="F8:G8"/>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F29"/>
  <sheetViews>
    <sheetView tabSelected="1" zoomScale="125" workbookViewId="0">
      <pane xSplit="1" ySplit="10" topLeftCell="B11" activePane="bottomRight" state="frozen"/>
      <selection pane="topRight"/>
      <selection pane="bottomLeft"/>
      <selection pane="bottomRight" activeCell="F14" sqref="F14"/>
    </sheetView>
  </sheetViews>
  <sheetFormatPr baseColWidth="10" defaultColWidth="8.83203125" defaultRowHeight="15" x14ac:dyDescent="0.2"/>
  <cols>
    <col min="1" max="1" width="24" customWidth="1"/>
    <col min="2" max="3" width="17" customWidth="1"/>
    <col min="4" max="4" width="14" customWidth="1"/>
    <col min="5" max="6" width="11" customWidth="1"/>
  </cols>
  <sheetData>
    <row r="1" spans="1:6" ht="24" customHeight="1" x14ac:dyDescent="0.2">
      <c r="A1" s="152" t="s">
        <v>185</v>
      </c>
      <c r="B1" s="130"/>
      <c r="C1" s="130"/>
      <c r="D1" s="130"/>
      <c r="E1" s="130"/>
      <c r="F1" s="130"/>
    </row>
    <row r="2" spans="1:6" ht="14" customHeight="1" x14ac:dyDescent="0.2">
      <c r="A2" s="154" t="s">
        <v>186</v>
      </c>
      <c r="B2" s="130"/>
      <c r="C2" s="130"/>
      <c r="D2" s="130"/>
      <c r="E2" s="130"/>
      <c r="F2" s="130"/>
    </row>
    <row r="3" spans="1:6" ht="8" customHeight="1" x14ac:dyDescent="0.2"/>
    <row r="4" spans="1:6" ht="18" customHeight="1" x14ac:dyDescent="0.2">
      <c r="A4" s="153" t="s">
        <v>187</v>
      </c>
      <c r="B4" s="130"/>
      <c r="C4" s="130"/>
      <c r="D4" s="130"/>
      <c r="E4" s="130"/>
      <c r="F4" s="130"/>
    </row>
    <row r="5" spans="1:6" ht="14" customHeight="1" x14ac:dyDescent="0.2">
      <c r="B5" s="121" t="s">
        <v>188</v>
      </c>
      <c r="C5" s="121" t="s">
        <v>189</v>
      </c>
      <c r="D5" s="121" t="s">
        <v>190</v>
      </c>
      <c r="E5" s="121" t="s">
        <v>191</v>
      </c>
    </row>
    <row r="6" spans="1:6" ht="32" customHeight="1" x14ac:dyDescent="0.2">
      <c r="B6" s="122">
        <f>'Variance Analysis'!U7</f>
        <v>6040000</v>
      </c>
      <c r="C6" s="122">
        <f>'Variance Analysis'!U13</f>
        <v>1249000</v>
      </c>
      <c r="D6" s="123">
        <f>'Variance Analysis'!U10</f>
        <v>0.54668874172185433</v>
      </c>
      <c r="E6" s="123">
        <f>'Variance Analysis'!U14</f>
        <v>0.20678807947019867</v>
      </c>
    </row>
    <row r="7" spans="1:6" ht="14" customHeight="1" x14ac:dyDescent="0.2">
      <c r="B7" s="124" t="s">
        <v>192</v>
      </c>
      <c r="C7" s="124" t="s">
        <v>193</v>
      </c>
      <c r="D7" s="124" t="s">
        <v>194</v>
      </c>
      <c r="E7" s="124" t="s">
        <v>195</v>
      </c>
    </row>
    <row r="8" spans="1:6" ht="8" customHeight="1" x14ac:dyDescent="0.2"/>
    <row r="9" spans="1:6" ht="18" customHeight="1" x14ac:dyDescent="0.2">
      <c r="A9" s="153" t="s">
        <v>196</v>
      </c>
      <c r="B9" s="130"/>
      <c r="C9" s="130"/>
      <c r="D9" s="130"/>
      <c r="E9" s="130"/>
      <c r="F9" s="130"/>
    </row>
    <row r="10" spans="1:6" ht="14" customHeight="1" x14ac:dyDescent="0.2">
      <c r="A10" s="95" t="s">
        <v>131</v>
      </c>
      <c r="B10" s="109" t="s">
        <v>197</v>
      </c>
      <c r="C10" s="125" t="s">
        <v>198</v>
      </c>
      <c r="D10" s="110" t="s">
        <v>12</v>
      </c>
      <c r="E10" s="110" t="s">
        <v>13</v>
      </c>
      <c r="F10" s="110" t="s">
        <v>14</v>
      </c>
    </row>
    <row r="11" spans="1:6" ht="17" customHeight="1" x14ac:dyDescent="0.2">
      <c r="A11" s="99" t="s">
        <v>15</v>
      </c>
      <c r="B11" s="117">
        <f>'Variance Analysis'!T7</f>
        <v>6121375</v>
      </c>
      <c r="C11" s="100">
        <f>'Variance Analysis'!U7</f>
        <v>6040000</v>
      </c>
      <c r="D11" s="101">
        <f>'Variance Analysis'!V7</f>
        <v>-81375</v>
      </c>
      <c r="E11" s="126" t="str">
        <f>'Variance Analysis'!W7</f>
        <v>Unfav</v>
      </c>
      <c r="F11" s="107">
        <f>'Variance Analysis'!X7</f>
        <v>-1.3293581915827735E-2</v>
      </c>
    </row>
    <row r="12" spans="1:6" ht="17" customHeight="1" x14ac:dyDescent="0.2">
      <c r="A12" s="103" t="s">
        <v>16</v>
      </c>
      <c r="B12" s="112">
        <f>'Variance Analysis'!T8</f>
        <v>2745746.25</v>
      </c>
      <c r="C12" s="104">
        <f>'Variance Analysis'!U8</f>
        <v>2738000</v>
      </c>
      <c r="D12" s="105">
        <f>'Variance Analysis'!V8</f>
        <v>-7746.25</v>
      </c>
      <c r="E12" s="127" t="str">
        <f>'Variance Analysis'!W8</f>
        <v>Fav</v>
      </c>
      <c r="F12" s="115">
        <f>'Variance Analysis'!X8</f>
        <v>-2.8211820374879873E-3</v>
      </c>
    </row>
    <row r="13" spans="1:6" ht="17" customHeight="1" x14ac:dyDescent="0.2">
      <c r="A13" s="106" t="s">
        <v>17</v>
      </c>
      <c r="B13" s="117">
        <f>'Variance Analysis'!T9</f>
        <v>3375628.75</v>
      </c>
      <c r="C13" s="100">
        <f>'Variance Analysis'!U9</f>
        <v>3302000</v>
      </c>
      <c r="D13" s="101">
        <f>'Variance Analysis'!V9</f>
        <v>-73628.75</v>
      </c>
      <c r="E13" s="126" t="str">
        <f>'Variance Analysis'!W9</f>
        <v>Unfav</v>
      </c>
      <c r="F13" s="107">
        <f>'Variance Analysis'!X9</f>
        <v>-2.1811862456734912E-2</v>
      </c>
    </row>
    <row r="14" spans="1:6" ht="17" customHeight="1" x14ac:dyDescent="0.2">
      <c r="A14" s="106" t="s">
        <v>18</v>
      </c>
      <c r="B14" s="119">
        <f>'Variance Analysis'!T10</f>
        <v>0.55144942925404827</v>
      </c>
      <c r="C14" s="128">
        <f>'Variance Analysis'!U10</f>
        <v>0.54668874172185433</v>
      </c>
      <c r="D14" s="158">
        <f>'Variance Analysis'!V10</f>
        <v>-4.7606875321939413E-3</v>
      </c>
      <c r="E14" s="126" t="str">
        <f>'Variance Analysis'!W10</f>
        <v>Unfav</v>
      </c>
      <c r="F14" s="107">
        <f>'Variance Analysis'!X10</f>
        <v>-8.6330446268369082E-3</v>
      </c>
    </row>
    <row r="15" spans="1:6" ht="6" customHeight="1" x14ac:dyDescent="0.2"/>
    <row r="16" spans="1:6" ht="17" customHeight="1" x14ac:dyDescent="0.2">
      <c r="A16" s="103" t="s">
        <v>19</v>
      </c>
      <c r="B16" s="112">
        <f>'Variance Analysis'!T12</f>
        <v>1985593.75</v>
      </c>
      <c r="C16" s="104">
        <f>'Variance Analysis'!U12</f>
        <v>2053000</v>
      </c>
      <c r="D16" s="105">
        <f>'Variance Analysis'!V12</f>
        <v>67406.25</v>
      </c>
      <c r="E16" s="127" t="str">
        <f>'Variance Analysis'!W12</f>
        <v>Unfav</v>
      </c>
      <c r="F16" s="115">
        <f>'Variance Analysis'!X12</f>
        <v>3.3947654196635139E-2</v>
      </c>
    </row>
    <row r="17" spans="1:6" ht="17" customHeight="1" x14ac:dyDescent="0.2">
      <c r="A17" s="106" t="s">
        <v>20</v>
      </c>
      <c r="B17" s="117">
        <f>'Variance Analysis'!T13</f>
        <v>1390035</v>
      </c>
      <c r="C17" s="100">
        <f>'Variance Analysis'!U13</f>
        <v>1249000</v>
      </c>
      <c r="D17" s="101">
        <f>'Variance Analysis'!V13</f>
        <v>-141035</v>
      </c>
      <c r="E17" s="126" t="str">
        <f>'Variance Analysis'!W13</f>
        <v>Unfav</v>
      </c>
      <c r="F17" s="107">
        <f>'Variance Analysis'!X13</f>
        <v>-0.10146147399166208</v>
      </c>
    </row>
    <row r="18" spans="1:6" ht="17" customHeight="1" x14ac:dyDescent="0.2">
      <c r="A18" s="106" t="s">
        <v>21</v>
      </c>
      <c r="B18" s="119">
        <f>'Variance Analysis'!T14</f>
        <v>0.22707888342080007</v>
      </c>
      <c r="C18" s="128">
        <f>'Variance Analysis'!U14</f>
        <v>0.20678807947019867</v>
      </c>
      <c r="D18" s="158">
        <f>'Variance Analysis'!V14</f>
        <v>-2.0290803950601399E-2</v>
      </c>
      <c r="E18" s="126" t="str">
        <f>'Variance Analysis'!W14</f>
        <v>Unfav</v>
      </c>
      <c r="F18" s="107">
        <f>'Variance Analysis'!X14</f>
        <v>-8.93557500588925E-2</v>
      </c>
    </row>
    <row r="19" spans="1:6" ht="8" customHeight="1" x14ac:dyDescent="0.2"/>
    <row r="20" spans="1:6" ht="18" customHeight="1" x14ac:dyDescent="0.2">
      <c r="A20" s="153" t="s">
        <v>199</v>
      </c>
      <c r="B20" s="130"/>
      <c r="C20" s="130"/>
      <c r="D20" s="130"/>
      <c r="E20" s="130"/>
      <c r="F20" s="130"/>
    </row>
    <row r="21" spans="1:6" ht="14" customHeight="1" x14ac:dyDescent="0.2">
      <c r="A21" s="95" t="s">
        <v>131</v>
      </c>
      <c r="B21" s="109" t="s">
        <v>145</v>
      </c>
      <c r="C21" s="110" t="s">
        <v>200</v>
      </c>
      <c r="D21" s="110" t="s">
        <v>12</v>
      </c>
      <c r="E21" s="110" t="s">
        <v>13</v>
      </c>
      <c r="F21" s="110" t="s">
        <v>14</v>
      </c>
    </row>
    <row r="22" spans="1:6" ht="17" customHeight="1" x14ac:dyDescent="0.2">
      <c r="A22" s="99" t="s">
        <v>15</v>
      </c>
      <c r="B22" s="117">
        <f>'P&amp;L Summary'!O6</f>
        <v>22602000</v>
      </c>
      <c r="C22" s="101">
        <f>'Rolling Forecast'!N7</f>
        <v>22520625</v>
      </c>
      <c r="D22" s="101">
        <f>C22-B22</f>
        <v>-81375</v>
      </c>
      <c r="E22" s="85" t="str">
        <f>IF(D22&lt;0,"Unfav","Fav")</f>
        <v>Unfav</v>
      </c>
      <c r="F22" s="107">
        <f>D22/B22</f>
        <v>-3.6003451022033448E-3</v>
      </c>
    </row>
    <row r="23" spans="1:6" ht="17" customHeight="1" x14ac:dyDescent="0.2">
      <c r="A23" s="103" t="s">
        <v>16</v>
      </c>
      <c r="B23" s="112">
        <f>'P&amp;L Summary'!O7</f>
        <v>10138140</v>
      </c>
      <c r="C23" s="105">
        <f>'Rolling Forecast'!N8</f>
        <v>10130393.75</v>
      </c>
      <c r="D23" s="105">
        <f t="shared" ref="D23:D29" si="0">C23-B23</f>
        <v>-7746.25</v>
      </c>
      <c r="E23" s="85" t="str">
        <f>IF(D23&gt;0,"Unfav","Fav")</f>
        <v>Fav</v>
      </c>
      <c r="F23" s="107">
        <f t="shared" ref="F23:F25" si="1">D23/B23</f>
        <v>-7.6407013515299648E-4</v>
      </c>
    </row>
    <row r="24" spans="1:6" ht="17" customHeight="1" x14ac:dyDescent="0.2">
      <c r="A24" s="106" t="s">
        <v>17</v>
      </c>
      <c r="B24" s="117">
        <f>'P&amp;L Summary'!O8</f>
        <v>12463860</v>
      </c>
      <c r="C24" s="101">
        <f>'Rolling Forecast'!N9</f>
        <v>12390231.25</v>
      </c>
      <c r="D24" s="101">
        <f t="shared" si="0"/>
        <v>-73628.75</v>
      </c>
      <c r="E24" s="85" t="str">
        <f>IF(D24&lt;0,"Unfav","Fav")</f>
        <v>Unfav</v>
      </c>
      <c r="F24" s="107">
        <f t="shared" si="1"/>
        <v>-5.9073794153657053E-3</v>
      </c>
    </row>
    <row r="25" spans="1:6" ht="17" customHeight="1" x14ac:dyDescent="0.2">
      <c r="A25" s="106" t="s">
        <v>18</v>
      </c>
      <c r="B25" s="119">
        <f>'P&amp;L Summary'!O9</f>
        <v>0.55144942925404827</v>
      </c>
      <c r="C25" s="107">
        <f>'Rolling Forecast'!N10</f>
        <v>0.55017261954319652</v>
      </c>
      <c r="D25" s="158">
        <f t="shared" si="0"/>
        <v>-1.2768097108517562E-3</v>
      </c>
      <c r="E25" s="85" t="str">
        <f>IF(D25&lt;0,"Unfav","Fav")</f>
        <v>Unfav</v>
      </c>
      <c r="F25" s="107">
        <f t="shared" si="1"/>
        <v>-2.3153704458066279E-3</v>
      </c>
    </row>
    <row r="26" spans="1:6" ht="6" customHeight="1" x14ac:dyDescent="0.2"/>
    <row r="27" spans="1:6" ht="17" customHeight="1" x14ac:dyDescent="0.2">
      <c r="A27" s="103" t="s">
        <v>19</v>
      </c>
      <c r="B27" s="112">
        <f>'P&amp;L Summary'!O11</f>
        <v>7894500</v>
      </c>
      <c r="C27" s="105">
        <f>'Rolling Forecast'!N12</f>
        <v>7961906.25</v>
      </c>
      <c r="D27" s="105">
        <f t="shared" si="0"/>
        <v>67406.25</v>
      </c>
      <c r="E27" s="85" t="str">
        <f>IF(D27&gt;0,"Unfav","Fav")</f>
        <v>Unfav</v>
      </c>
      <c r="F27" s="115">
        <f>D27/B27</f>
        <v>8.5383811514345431E-3</v>
      </c>
    </row>
    <row r="28" spans="1:6" ht="17" customHeight="1" x14ac:dyDescent="0.2">
      <c r="A28" s="106" t="s">
        <v>20</v>
      </c>
      <c r="B28" s="117">
        <f>'P&amp;L Summary'!O12</f>
        <v>4569360</v>
      </c>
      <c r="C28" s="101">
        <f>'Rolling Forecast'!N13</f>
        <v>4428325</v>
      </c>
      <c r="D28" s="101">
        <f t="shared" si="0"/>
        <v>-141035</v>
      </c>
      <c r="E28" s="85" t="str">
        <f>IF(D28&lt;0,"Unfav","Fav")</f>
        <v>Unfav</v>
      </c>
      <c r="F28" s="115">
        <f t="shared" ref="F28:F29" si="2">D28/B28</f>
        <v>-3.086537283120612E-2</v>
      </c>
    </row>
    <row r="29" spans="1:6" ht="17" customHeight="1" x14ac:dyDescent="0.2">
      <c r="A29" s="106" t="s">
        <v>21</v>
      </c>
      <c r="B29" s="119">
        <f>'P&amp;L Summary'!O13</f>
        <v>0.20216617998407221</v>
      </c>
      <c r="C29" s="107">
        <f>'Rolling Forecast'!N14</f>
        <v>0.19663419643104932</v>
      </c>
      <c r="D29" s="158">
        <f t="shared" si="0"/>
        <v>-5.5319835530228956E-3</v>
      </c>
      <c r="E29" s="85" t="str">
        <f>IF(D29&lt;0,"Unfav","Fav")</f>
        <v>Unfav</v>
      </c>
      <c r="F29" s="115">
        <f t="shared" si="2"/>
        <v>-2.7363545937598148E-2</v>
      </c>
    </row>
  </sheetData>
  <mergeCells count="5">
    <mergeCell ref="A2:F2"/>
    <mergeCell ref="A1:F1"/>
    <mergeCell ref="A9:F9"/>
    <mergeCell ref="A4:F4"/>
    <mergeCell ref="A20:F20"/>
  </mergeCells>
  <conditionalFormatting sqref="E22:E25 E27:E29">
    <cfRule type="expression" dxfId="4" priority="1">
      <formula>XEL17="Unfav"</formula>
    </cfRule>
    <cfRule type="expression" dxfId="3" priority="2">
      <formula>XEL17="Fav"</formula>
    </cfRule>
  </conditionalFormatting>
  <conditionalFormatting sqref="E22">
    <cfRule type="containsText" dxfId="2" priority="5" operator="containsText" text="Fav">
      <formula>NOT(ISERROR(SEARCH("Fav",E22)))</formula>
    </cfRule>
  </conditionalFormatting>
  <conditionalFormatting sqref="E22:E25 E27:E29">
    <cfRule type="containsText" dxfId="1" priority="3" operator="containsText" text="Unfav">
      <formula>NOT(ISERROR(SEARCH("Unfav",E22)))</formula>
    </cfRule>
  </conditionalFormatting>
  <conditionalFormatting sqref="E23:E25 E27:E29">
    <cfRule type="containsText" dxfId="0" priority="4" stopIfTrue="1" operator="containsText" text="Fav">
      <formula>NOT(ISERROR(SEARCH("Fav",E23)))</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Assumptions</vt:lpstr>
      <vt:lpstr>Revenue Build</vt:lpstr>
      <vt:lpstr>COGS Build</vt:lpstr>
      <vt:lpstr>OpEx Detail</vt:lpstr>
      <vt:lpstr>P&amp;L Summary</vt:lpstr>
      <vt:lpstr>Variance Analysis</vt:lpstr>
      <vt:lpstr>Rolling Forecast</vt:lpstr>
      <vt:lpstr>Scenario 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Muhammed Ashnad K</cp:lastModifiedBy>
  <dcterms:created xsi:type="dcterms:W3CDTF">2026-08-24T20:40:40Z</dcterms:created>
  <dcterms:modified xsi:type="dcterms:W3CDTF">2026-08-30T20:13:15Z</dcterms:modified>
</cp:coreProperties>
</file>