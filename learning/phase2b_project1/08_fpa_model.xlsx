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28800" windowHeight="17400" tabRatio="600" firstSheet="0" activeTab="8" autoFilterDateGrouping="1"/>
  </bookViews>
  <sheets>
    <sheet xmlns:r="http://schemas.openxmlformats.org/officeDocument/2006/relationships" name="Assumptions" sheetId="1" state="visible" r:id="rId1"/>
    <sheet xmlns:r="http://schemas.openxmlformats.org/officeDocument/2006/relationships" name="Revenue Build" sheetId="2" state="visible" r:id="rId2"/>
    <sheet xmlns:r="http://schemas.openxmlformats.org/officeDocument/2006/relationships" name="COGS Build" sheetId="3" state="visible" r:id="rId3"/>
    <sheet xmlns:r="http://schemas.openxmlformats.org/officeDocument/2006/relationships" name="OpEx Detail" sheetId="4" state="visible" r:id="rId4"/>
    <sheet xmlns:r="http://schemas.openxmlformats.org/officeDocument/2006/relationships" name="P&amp;L Summary" sheetId="5" state="visible" r:id="rId5"/>
    <sheet xmlns:r="http://schemas.openxmlformats.org/officeDocument/2006/relationships" name="Variance Analysis" sheetId="6" state="visible" r:id="rId6"/>
    <sheet xmlns:r="http://schemas.openxmlformats.org/officeDocument/2006/relationships" name="Rolling Forecast" sheetId="7" state="visible" r:id="rId7"/>
    <sheet xmlns:r="http://schemas.openxmlformats.org/officeDocument/2006/relationships" name="Scenario Analysis" sheetId="8" state="visible" r:id="rId8"/>
    <sheet xmlns:r="http://schemas.openxmlformats.org/officeDocument/2006/relationships" name="Dashboard" sheetId="9" state="visible" r:id="rId9"/>
  </sheets>
  <definedNames/>
  <calcPr calcId="191029" fullCalcOnLoad="1"/>
</workbook>
</file>

<file path=xl/styles.xml><?xml version="1.0" encoding="utf-8"?>
<styleSheet xmlns="http://schemas.openxmlformats.org/spreadsheetml/2006/main">
  <numFmts count="1">
    <numFmt numFmtId="164" formatCode="0.0%"/>
  </numFmts>
  <fonts count="103">
    <font>
      <name val="Calibri"/>
      <family val="2"/>
      <color theme="1"/>
      <sz val="11"/>
      <scheme val="minor"/>
    </font>
    <font>
      <name val="Calibri"/>
      <family val="2"/>
      <b val="1"/>
      <color rgb="FFFFFFFF"/>
      <sz val="14"/>
    </font>
    <font>
      <name val="Calibri"/>
      <family val="2"/>
      <i val="1"/>
      <color rgb="FFFFFFFF"/>
      <sz val="9"/>
    </font>
    <font>
      <name val="Calibri"/>
      <family val="2"/>
      <b val="1"/>
      <color rgb="FF1F3864"/>
      <sz val="9"/>
    </font>
    <font>
      <name val="Calibri"/>
      <family val="2"/>
      <color rgb="FF1F497D"/>
      <sz val="9"/>
    </font>
    <font>
      <name val="Calibri"/>
      <family val="2"/>
      <color rgb="FF375623"/>
      <sz val="9"/>
    </font>
    <font>
      <name val="Calibri"/>
      <family val="2"/>
      <i val="1"/>
      <color rgb="FF7F7F7F"/>
      <sz val="9"/>
    </font>
    <font>
      <name val="Calibri"/>
      <family val="2"/>
      <b val="1"/>
      <color rgb="FFFFFFFF"/>
      <sz val="9"/>
    </font>
    <font>
      <name val="Calibri"/>
      <family val="2"/>
      <color rgb="FF404040"/>
      <sz val="10"/>
    </font>
    <font>
      <name val="Calibri"/>
      <family val="2"/>
      <color rgb="FF1F497D"/>
      <sz val="10"/>
    </font>
    <font>
      <name val="Calibri"/>
      <family val="2"/>
      <color rgb="FF375623"/>
      <sz val="10"/>
    </font>
    <font>
      <name val="Calibri"/>
      <family val="2"/>
      <b val="1"/>
      <color rgb="FFFFFFFF"/>
      <sz val="13"/>
    </font>
    <font>
      <name val="Calibri"/>
      <family val="2"/>
      <b val="1"/>
      <color rgb="FF1F3864"/>
      <sz val="10"/>
    </font>
    <font>
      <name val="Calibri"/>
      <family val="2"/>
      <color rgb="FF606060"/>
      <sz val="9"/>
    </font>
    <font>
      <name val="Calibri"/>
      <family val="2"/>
      <b val="1"/>
      <color rgb="FF375623"/>
      <sz val="10"/>
    </font>
    <font>
      <name val="Calibri"/>
      <family val="2"/>
      <b val="1"/>
      <color rgb="FFFFFFFF"/>
      <sz val="10"/>
    </font>
    <font>
      <name val="Calibri"/>
      <family val="2"/>
      <color rgb="FF1F497D"/>
      <sz val="10"/>
    </font>
    <font>
      <name val="Calibri"/>
      <family val="2"/>
      <b val="1"/>
      <color rgb="FFFFFFFF"/>
      <sz val="13"/>
    </font>
    <font>
      <name val="Calibri"/>
      <family val="2"/>
      <i val="1"/>
      <color rgb="FFFFFFFF"/>
      <sz val="9"/>
    </font>
    <font>
      <name val="Calibri"/>
      <family val="2"/>
      <b val="1"/>
      <color rgb="FF1F3864"/>
      <sz val="9"/>
    </font>
    <font>
      <name val="Calibri"/>
      <family val="2"/>
      <b val="1"/>
      <color rgb="FF1F3864"/>
      <sz val="10"/>
    </font>
    <font>
      <name val="Calibri"/>
      <family val="2"/>
      <color rgb="FF404040"/>
      <sz val="10"/>
    </font>
    <font>
      <name val="Calibri"/>
      <family val="2"/>
      <color rgb="FF375623"/>
      <sz val="10"/>
    </font>
    <font>
      <name val="Calibri"/>
      <family val="2"/>
      <b val="1"/>
      <color rgb="FF375623"/>
      <sz val="10"/>
    </font>
    <font>
      <name val="Calibri"/>
      <family val="2"/>
      <color rgb="FF000000"/>
      <sz val="10"/>
    </font>
    <font>
      <name val="Calibri"/>
      <family val="2"/>
      <b val="1"/>
      <color rgb="FF1F497D"/>
      <sz val="10"/>
    </font>
    <font>
      <name val="Calibri"/>
      <family val="2"/>
      <b val="1"/>
      <color rgb="FFFFFFFF"/>
      <sz val="10"/>
    </font>
    <font>
      <name val="Calibri"/>
      <family val="2"/>
      <color rgb="FF1F497D"/>
      <sz val="10"/>
    </font>
    <font>
      <name val="Calibri"/>
      <family val="2"/>
      <b val="1"/>
      <color rgb="FFFFFFFF"/>
      <sz val="13"/>
    </font>
    <font>
      <name val="Calibri"/>
      <family val="2"/>
      <i val="1"/>
      <color rgb="FFFFFFFF"/>
      <sz val="9"/>
    </font>
    <font>
      <name val="Calibri"/>
      <family val="2"/>
      <b val="1"/>
      <color rgb="FF1F3864"/>
      <sz val="9"/>
    </font>
    <font>
      <name val="Calibri"/>
      <family val="2"/>
      <b val="1"/>
      <color rgb="FF1F3864"/>
      <sz val="10"/>
    </font>
    <font>
      <name val="Calibri"/>
      <family val="2"/>
      <color rgb="FF404040"/>
      <sz val="10"/>
    </font>
    <font>
      <name val="Calibri"/>
      <family val="2"/>
      <color rgb="FF375623"/>
      <sz val="10"/>
    </font>
    <font>
      <name val="Calibri"/>
      <family val="2"/>
      <b val="1"/>
      <color rgb="FF375623"/>
      <sz val="10"/>
    </font>
    <font>
      <name val="Calibri"/>
      <family val="2"/>
      <b val="1"/>
      <color rgb="FF1F497D"/>
      <sz val="10"/>
    </font>
    <font>
      <name val="Calibri"/>
      <family val="2"/>
      <b val="1"/>
      <color rgb="FFFFFFFF"/>
      <sz val="10"/>
    </font>
    <font>
      <name val="Calibri"/>
      <family val="2"/>
      <b val="1"/>
      <color rgb="FFFFFFFF"/>
      <sz val="13"/>
    </font>
    <font>
      <name val="Calibri"/>
      <family val="2"/>
      <i val="1"/>
      <color rgb="FFFFFFFF"/>
      <sz val="9"/>
    </font>
    <font>
      <name val="Calibri"/>
      <family val="2"/>
      <b val="1"/>
      <color rgb="FF1F3864"/>
      <sz val="9"/>
    </font>
    <font>
      <name val="Calibri"/>
      <family val="2"/>
      <color rgb="FF1F497D"/>
      <sz val="9"/>
    </font>
    <font>
      <name val="Calibri"/>
      <family val="2"/>
      <color rgb="FF375623"/>
      <sz val="9"/>
    </font>
    <font>
      <name val="Calibri"/>
      <family val="2"/>
      <color rgb="FF7F6000"/>
      <sz val="9"/>
    </font>
    <font>
      <name val="Calibri"/>
      <family val="2"/>
      <b val="1"/>
      <color rgb="FF1F3864"/>
      <sz val="8"/>
    </font>
    <font>
      <name val="Calibri"/>
      <family val="2"/>
      <b val="1"/>
      <color rgb="FFFFFFFF"/>
      <sz val="9"/>
    </font>
    <font>
      <name val="Calibri"/>
      <family val="2"/>
      <b val="1"/>
      <color rgb="FF7F6000"/>
      <sz val="9"/>
    </font>
    <font>
      <name val="Calibri"/>
      <family val="2"/>
      <b val="1"/>
      <color rgb="FF404040"/>
      <sz val="10"/>
    </font>
    <font>
      <name val="Calibri"/>
      <family val="2"/>
      <b val="1"/>
      <color rgb="FF1F497D"/>
      <sz val="10"/>
    </font>
    <font>
      <name val="Calibri"/>
      <family val="2"/>
      <b val="1"/>
      <color rgb="FF375623"/>
      <sz val="10"/>
    </font>
    <font>
      <name val="Calibri"/>
      <family val="2"/>
      <b val="1"/>
      <color rgb="FFFFFFFF"/>
      <sz val="10"/>
    </font>
    <font>
      <name val="Calibri"/>
      <family val="2"/>
      <b val="1"/>
      <color rgb="FF7F6000"/>
      <sz val="10"/>
    </font>
    <font>
      <name val="Calibri"/>
      <family val="2"/>
      <color rgb="FF404040"/>
      <sz val="10"/>
    </font>
    <font>
      <name val="Calibri"/>
      <family val="2"/>
      <color rgb="FF1F497D"/>
      <sz val="10"/>
    </font>
    <font>
      <name val="Calibri"/>
      <family val="2"/>
      <color rgb="FF375623"/>
      <sz val="10"/>
    </font>
    <font>
      <name val="Calibri"/>
      <family val="2"/>
      <color rgb="FF7F6000"/>
      <sz val="10"/>
    </font>
    <font>
      <name val="Calibri"/>
      <family val="2"/>
      <b val="1"/>
      <color rgb="FF1F3864"/>
      <sz val="10"/>
    </font>
    <font>
      <name val="Calibri"/>
      <family val="2"/>
      <b val="1"/>
      <color rgb="FFFFFFFF"/>
      <sz val="13"/>
    </font>
    <font>
      <name val="Calibri"/>
      <family val="2"/>
      <i val="1"/>
      <color rgb="FFFFFFFF"/>
      <sz val="9"/>
    </font>
    <font>
      <name val="Calibri"/>
      <family val="2"/>
      <b val="1"/>
      <color rgb="FF1F3864"/>
      <sz val="9"/>
    </font>
    <font>
      <name val="Calibri"/>
      <family val="2"/>
      <color rgb="FF1F497D"/>
      <sz val="9"/>
    </font>
    <font>
      <name val="Calibri"/>
      <family val="2"/>
      <color rgb="FF7F6000"/>
      <sz val="9"/>
    </font>
    <font>
      <name val="Calibri"/>
      <family val="2"/>
      <color rgb="FF375623"/>
      <sz val="9"/>
    </font>
    <font>
      <name val="Calibri"/>
      <family val="2"/>
      <b val="1"/>
      <color rgb="FFFFFFFF"/>
      <sz val="10"/>
    </font>
    <font>
      <name val="Calibri"/>
      <family val="2"/>
      <b val="1"/>
      <color rgb="FF1F497D"/>
      <sz val="8"/>
    </font>
    <font>
      <name val="Calibri"/>
      <family val="2"/>
      <b val="1"/>
      <color rgb="FF7F6000"/>
      <sz val="8"/>
    </font>
    <font>
      <name val="Calibri"/>
      <family val="2"/>
      <b val="1"/>
      <color rgb="FF375623"/>
      <sz val="8"/>
    </font>
    <font>
      <name val="Calibri"/>
      <family val="2"/>
      <b val="1"/>
      <color rgb="FFFFFFFF"/>
      <sz val="8"/>
    </font>
    <font>
      <name val="Calibri"/>
      <family val="2"/>
      <b val="1"/>
      <color rgb="FF404040"/>
      <sz val="10"/>
    </font>
    <font>
      <name val="Calibri"/>
      <family val="2"/>
      <color rgb="FF404040"/>
      <sz val="10"/>
    </font>
    <font>
      <name val="Calibri"/>
      <family val="2"/>
      <color rgb="FF1F497D"/>
      <sz val="10"/>
    </font>
    <font>
      <name val="Calibri"/>
      <family val="2"/>
      <color rgb="FF7F6000"/>
      <sz val="10"/>
    </font>
    <font>
      <name val="Calibri"/>
      <family val="2"/>
      <color rgb="FF375623"/>
      <sz val="10"/>
    </font>
    <font>
      <name val="Calibri"/>
      <family val="2"/>
      <b val="1"/>
      <color rgb="FF1F3864"/>
      <sz val="10"/>
    </font>
    <font>
      <name val="Calibri"/>
      <family val="2"/>
      <color rgb="FFFFFFFF"/>
      <sz val="10"/>
    </font>
    <font>
      <name val="Calibri"/>
      <family val="2"/>
      <b val="1"/>
      <color rgb="FFFFFFFF"/>
      <sz val="13"/>
    </font>
    <font>
      <name val="Calibri"/>
      <family val="2"/>
      <i val="1"/>
      <color rgb="FFFFFFFF"/>
      <sz val="9"/>
    </font>
    <font>
      <name val="Calibri"/>
      <family val="2"/>
      <b val="1"/>
      <color rgb="FF1F3864"/>
      <sz val="9"/>
    </font>
    <font>
      <name val="Calibri"/>
      <family val="2"/>
      <color rgb="FF7F6000"/>
      <sz val="9"/>
    </font>
    <font>
      <name val="Calibri"/>
      <family val="2"/>
      <color rgb="FF375623"/>
      <sz val="9"/>
    </font>
    <font>
      <name val="Calibri"/>
      <family val="2"/>
      <color rgb="FFFFFFFF"/>
      <sz val="9"/>
    </font>
    <font>
      <name val="Calibri"/>
      <family val="2"/>
      <b val="1"/>
      <color rgb="FF7F6000"/>
      <sz val="8"/>
    </font>
    <font>
      <name val="Calibri"/>
      <family val="2"/>
      <b val="1"/>
      <color rgb="FF1F3864"/>
      <sz val="8"/>
    </font>
    <font>
      <name val="Calibri"/>
      <family val="2"/>
      <b val="1"/>
      <color rgb="FFFFFFFF"/>
      <sz val="9"/>
    </font>
    <font>
      <name val="Calibri"/>
      <family val="2"/>
      <i val="1"/>
      <color rgb="FF7F7F7F"/>
      <sz val="8"/>
    </font>
    <font>
      <name val="Calibri"/>
      <family val="2"/>
      <b val="1"/>
      <color rgb="FF404040"/>
      <sz val="10"/>
    </font>
    <font>
      <name val="Calibri"/>
      <family val="2"/>
      <b val="1"/>
      <color rgb="FF7F6000"/>
      <sz val="10"/>
    </font>
    <font>
      <name val="Calibri"/>
      <family val="2"/>
      <b val="1"/>
      <color rgb="FF375623"/>
      <sz val="10"/>
    </font>
    <font>
      <name val="Calibri"/>
      <family val="2"/>
      <b val="1"/>
      <color rgb="FFFFFFFF"/>
      <sz val="10"/>
    </font>
    <font>
      <name val="Calibri"/>
      <family val="2"/>
      <color rgb="FF404040"/>
      <sz val="10"/>
    </font>
    <font>
      <name val="Calibri"/>
      <family val="2"/>
      <color rgb="FF7F6000"/>
      <sz val="10"/>
    </font>
    <font>
      <name val="Calibri"/>
      <family val="2"/>
      <color rgb="FF375623"/>
      <sz val="10"/>
    </font>
    <font>
      <name val="Calibri"/>
      <family val="2"/>
      <b val="1"/>
      <color rgb="FF1F3864"/>
      <sz val="10"/>
    </font>
    <font>
      <name val="Calibri"/>
      <family val="2"/>
      <b val="1"/>
      <color rgb="FF1F497D"/>
      <sz val="9"/>
    </font>
    <font>
      <name val="Calibri"/>
      <family val="2"/>
      <b val="1"/>
      <color rgb="FF375623"/>
      <sz val="9"/>
    </font>
    <font>
      <name val="Calibri"/>
      <family val="2"/>
      <b val="1"/>
      <color rgb="FF9C0006"/>
      <sz val="9"/>
    </font>
    <font>
      <name val="Calibri"/>
      <family val="2"/>
      <color rgb="FF1F497D"/>
      <sz val="10"/>
    </font>
    <font>
      <name val="Calibri"/>
      <family val="2"/>
      <color rgb="FF9C0006"/>
      <sz val="10"/>
    </font>
    <font>
      <name val="Calibri"/>
      <family val="2"/>
      <b val="1"/>
      <color rgb="FF1F497D"/>
      <sz val="10"/>
    </font>
    <font>
      <name val="Calibri"/>
      <family val="2"/>
      <b val="1"/>
      <color rgb="FF9C0006"/>
      <sz val="10"/>
    </font>
    <font>
      <name val="Calibri"/>
      <family val="2"/>
      <b val="1"/>
      <color rgb="FFFFFFFF"/>
      <sz val="8"/>
    </font>
    <font>
      <name val="Calibri"/>
      <family val="2"/>
      <b val="1"/>
      <color rgb="FF375623"/>
      <sz val="14"/>
    </font>
    <font>
      <name val="Calibri"/>
      <family val="2"/>
      <i val="1"/>
      <color rgb="FFFFFFFF"/>
      <sz val="7"/>
    </font>
    <font>
      <name val="Calibri"/>
      <family val="2"/>
      <b val="1"/>
      <color rgb="FF7F6000"/>
      <sz val="9"/>
    </font>
  </fonts>
  <fills count="45">
    <fill>
      <patternFill/>
    </fill>
    <fill>
      <patternFill patternType="gray125"/>
    </fill>
    <fill>
      <patternFill patternType="solid">
        <fgColor rgb="FF1F3864"/>
        <bgColor rgb="FF1F3864"/>
      </patternFill>
    </fill>
    <fill>
      <patternFill patternType="solid">
        <fgColor rgb="FF2E75B6"/>
        <bgColor rgb="FF2E75B6"/>
      </patternFill>
    </fill>
    <fill>
      <patternFill patternType="solid">
        <fgColor rgb="FFDCE6F1"/>
        <bgColor rgb="FFDCE6F1"/>
      </patternFill>
    </fill>
    <fill>
      <patternFill patternType="solid">
        <fgColor rgb="FFE2EFDA"/>
        <bgColor rgb="FFE2EFDA"/>
      </patternFill>
    </fill>
    <fill>
      <patternFill patternType="solid">
        <fgColor rgb="FFF2F2F2"/>
        <bgColor rgb="FFF2F2F2"/>
      </patternFill>
    </fill>
    <fill>
      <patternFill patternType="solid">
        <fgColor rgb="FFD6E4F0"/>
        <bgColor rgb="FFD6E4F0"/>
      </patternFill>
    </fill>
    <fill>
      <patternFill patternType="solid">
        <fgColor rgb="FFDCE6F1"/>
        <bgColor rgb="FFDCE6F1"/>
      </patternFill>
    </fill>
    <fill>
      <patternFill patternType="solid">
        <fgColor rgb="FF1F3864"/>
        <bgColor rgb="FF1F3864"/>
      </patternFill>
    </fill>
    <fill>
      <patternFill patternType="solid">
        <fgColor rgb="FF2E75B6"/>
        <bgColor rgb="FF2E75B6"/>
      </patternFill>
    </fill>
    <fill>
      <patternFill patternType="solid">
        <fgColor rgb="FFD6E4F0"/>
        <bgColor rgb="FFD6E4F0"/>
      </patternFill>
    </fill>
    <fill>
      <patternFill patternType="solid">
        <fgColor rgb="FFF2F2F2"/>
        <bgColor rgb="FFF2F2F2"/>
      </patternFill>
    </fill>
    <fill>
      <patternFill patternType="solid">
        <fgColor rgb="FFE2EFDA"/>
        <bgColor rgb="FFE2EFDA"/>
      </patternFill>
    </fill>
    <fill>
      <patternFill patternType="solid">
        <fgColor rgb="FFDCE6F1"/>
        <bgColor rgb="FFDCE6F1"/>
      </patternFill>
    </fill>
    <fill>
      <patternFill patternType="solid">
        <fgColor rgb="FF1F3864"/>
        <bgColor rgb="FF1F3864"/>
      </patternFill>
    </fill>
    <fill>
      <patternFill patternType="solid">
        <fgColor rgb="FF2E75B6"/>
        <bgColor rgb="FF2E75B6"/>
      </patternFill>
    </fill>
    <fill>
      <patternFill patternType="solid">
        <fgColor rgb="FFD6E4F0"/>
        <bgColor rgb="FFD6E4F0"/>
      </patternFill>
    </fill>
    <fill>
      <patternFill patternType="solid">
        <fgColor rgb="FFF2F2F2"/>
        <bgColor rgb="FFF2F2F2"/>
      </patternFill>
    </fill>
    <fill>
      <patternFill patternType="solid">
        <fgColor rgb="FFE2EFDA"/>
        <bgColor rgb="FFE2EFDA"/>
      </patternFill>
    </fill>
    <fill>
      <patternFill patternType="solid">
        <fgColor rgb="FF1F3864"/>
        <bgColor rgb="FF1F3864"/>
      </patternFill>
    </fill>
    <fill>
      <patternFill patternType="solid">
        <fgColor rgb="FF2E75B6"/>
        <bgColor rgb="FF2E75B6"/>
      </patternFill>
    </fill>
    <fill>
      <patternFill patternType="solid">
        <fgColor rgb="FFDCE6F1"/>
        <bgColor rgb="FFDCE6F1"/>
      </patternFill>
    </fill>
    <fill>
      <patternFill patternType="solid">
        <fgColor rgb="FFE2EFDA"/>
        <bgColor rgb="FFE2EFDA"/>
      </patternFill>
    </fill>
    <fill>
      <patternFill patternType="solid">
        <fgColor rgb="FFFFF2CC"/>
        <bgColor rgb="FFFFF2CC"/>
      </patternFill>
    </fill>
    <fill>
      <patternFill patternType="solid">
        <fgColor rgb="FFD6E4F0"/>
        <bgColor rgb="FFD6E4F0"/>
      </patternFill>
    </fill>
    <fill>
      <patternFill patternType="solid">
        <fgColor rgb="FF203864"/>
        <bgColor rgb="FF203864"/>
      </patternFill>
    </fill>
    <fill>
      <patternFill patternType="solid">
        <fgColor rgb="FFF2F2F2"/>
        <bgColor rgb="FFF2F2F2"/>
      </patternFill>
    </fill>
    <fill>
      <patternFill patternType="solid">
        <fgColor rgb="FF1F3864"/>
        <bgColor rgb="FF1F3864"/>
      </patternFill>
    </fill>
    <fill>
      <patternFill patternType="solid">
        <fgColor rgb="FF2E75B6"/>
        <bgColor rgb="FF2E75B6"/>
      </patternFill>
    </fill>
    <fill>
      <patternFill patternType="solid">
        <fgColor rgb="FFDCE6F1"/>
        <bgColor rgb="FFDCE6F1"/>
      </patternFill>
    </fill>
    <fill>
      <patternFill patternType="solid">
        <fgColor rgb="FFFFF2CC"/>
        <bgColor rgb="FFFFF2CC"/>
      </patternFill>
    </fill>
    <fill>
      <patternFill patternType="solid">
        <fgColor rgb="FFE2EFDA"/>
        <bgColor rgb="FFE2EFDA"/>
      </patternFill>
    </fill>
    <fill>
      <patternFill patternType="solid">
        <fgColor rgb="FF203864"/>
        <bgColor rgb="FF203864"/>
      </patternFill>
    </fill>
    <fill>
      <patternFill patternType="solid">
        <fgColor rgb="FFF2F2F2"/>
        <bgColor rgb="FFF2F2F2"/>
      </patternFill>
    </fill>
    <fill>
      <patternFill patternType="solid">
        <fgColor rgb="FFD6E4F0"/>
        <bgColor rgb="FFD6E4F0"/>
      </patternFill>
    </fill>
    <fill>
      <patternFill patternType="solid">
        <fgColor rgb="FF1F3864"/>
        <bgColor rgb="FF1F3864"/>
      </patternFill>
    </fill>
    <fill>
      <patternFill patternType="solid">
        <fgColor rgb="FF2E75B6"/>
        <bgColor rgb="FF2E75B6"/>
      </patternFill>
    </fill>
    <fill>
      <patternFill patternType="solid">
        <fgColor rgb="FFFFF2CC"/>
        <bgColor rgb="FFFFF2CC"/>
      </patternFill>
    </fill>
    <fill>
      <patternFill patternType="solid">
        <fgColor rgb="FFE2EFDA"/>
        <bgColor rgb="FFE2EFDA"/>
      </patternFill>
    </fill>
    <fill>
      <patternFill patternType="solid">
        <fgColor rgb="FF203864"/>
        <bgColor rgb="FF203864"/>
      </patternFill>
    </fill>
    <fill>
      <patternFill patternType="solid">
        <fgColor rgb="FFD6E4F0"/>
        <bgColor rgb="FFD6E4F0"/>
      </patternFill>
    </fill>
    <fill>
      <patternFill patternType="solid">
        <fgColor rgb="FFF2F2F2"/>
        <bgColor rgb="FFF2F2F2"/>
      </patternFill>
    </fill>
    <fill>
      <patternFill patternType="solid">
        <fgColor rgb="FFDCE6F1"/>
        <bgColor rgb="FFDCE6F1"/>
      </patternFill>
    </fill>
    <fill>
      <patternFill patternType="solid">
        <fgColor rgb="FFFFE0E0"/>
        <bgColor rgb="FFFFE0E0"/>
      </patternFill>
    </fill>
  </fills>
  <borders count="1">
    <border>
      <left/>
      <right/>
      <top/>
      <bottom/>
      <diagonal/>
    </border>
  </borders>
  <cellStyleXfs count="1">
    <xf numFmtId="0" fontId="0" fillId="0" borderId="0"/>
  </cellStyleXfs>
  <cellXfs count="159">
    <xf numFmtId="0" fontId="0" fillId="0" borderId="0" pivotButton="0" quotePrefix="0" xfId="0"/>
    <xf numFmtId="0" fontId="3" fillId="0" borderId="0" applyAlignment="1" pivotButton="0" quotePrefix="0" xfId="0">
      <alignment horizontal="left" vertical="center"/>
    </xf>
    <xf numFmtId="0" fontId="4" fillId="4" borderId="0" applyAlignment="1" pivotButton="0" quotePrefix="0" xfId="0">
      <alignment horizontal="center" vertical="center"/>
    </xf>
    <xf numFmtId="0" fontId="5" fillId="5" borderId="0" applyAlignment="1" pivotButton="0" quotePrefix="0" xfId="0">
      <alignment horizontal="center" vertical="center"/>
    </xf>
    <xf numFmtId="0" fontId="6" fillId="0" borderId="0" applyAlignment="1" pivotButton="0" quotePrefix="0" xfId="0">
      <alignment horizontal="left" vertical="center"/>
    </xf>
    <xf numFmtId="0" fontId="8" fillId="6" borderId="0" applyAlignment="1" pivotButton="0" quotePrefix="0" xfId="0">
      <alignment horizontal="left" vertical="center"/>
    </xf>
    <xf numFmtId="1" fontId="9" fillId="4" borderId="0" applyAlignment="1" pivotButton="0" quotePrefix="0" xfId="0">
      <alignment horizontal="center" vertical="center"/>
    </xf>
    <xf numFmtId="0" fontId="9" fillId="4" borderId="0" applyAlignment="1" pivotButton="0" quotePrefix="0" xfId="0">
      <alignment horizontal="center" vertical="center"/>
    </xf>
    <xf numFmtId="0" fontId="3" fillId="7" borderId="0" applyAlignment="1" pivotButton="0" quotePrefix="0" xfId="0">
      <alignment horizontal="center" vertical="center"/>
    </xf>
    <xf numFmtId="2" fontId="9" fillId="4" borderId="0" applyAlignment="1" pivotButton="0" quotePrefix="0" xfId="0">
      <alignment horizontal="center" vertical="center"/>
    </xf>
    <xf numFmtId="0" fontId="3" fillId="7" borderId="0" applyAlignment="1" pivotButton="0" quotePrefix="0" xfId="0">
      <alignment horizontal="left" vertical="center"/>
    </xf>
    <xf numFmtId="2" fontId="10" fillId="5" borderId="0" applyAlignment="1" pivotButton="0" quotePrefix="0" xfId="0">
      <alignment horizontal="center" vertical="center"/>
    </xf>
    <xf numFmtId="3" fontId="9" fillId="4" borderId="0" applyAlignment="1" pivotButton="0" quotePrefix="0" xfId="0">
      <alignment horizontal="center" vertical="center"/>
    </xf>
    <xf numFmtId="0" fontId="13" fillId="0" borderId="0" applyAlignment="1" pivotButton="0" quotePrefix="0" xfId="0">
      <alignment horizontal="center" vertical="center"/>
    </xf>
    <xf numFmtId="3" fontId="10" fillId="5" borderId="0" applyAlignment="1" pivotButton="0" quotePrefix="0" xfId="0">
      <alignment horizontal="center" vertical="center"/>
    </xf>
    <xf numFmtId="0" fontId="12" fillId="4" borderId="0" applyAlignment="1" pivotButton="0" quotePrefix="0" xfId="0">
      <alignment horizontal="left" vertical="center"/>
    </xf>
    <xf numFmtId="0" fontId="3" fillId="4" borderId="0" applyAlignment="1" pivotButton="0" quotePrefix="0" xfId="0">
      <alignment horizontal="center" vertical="center"/>
    </xf>
    <xf numFmtId="3" fontId="14" fillId="5" borderId="0" applyAlignment="1" pivotButton="0" quotePrefix="0" xfId="0">
      <alignment horizontal="center" vertical="center"/>
    </xf>
    <xf numFmtId="0" fontId="15" fillId="2" borderId="0" applyAlignment="1" pivotButton="0" quotePrefix="0" xfId="0">
      <alignment horizontal="left" vertical="center"/>
    </xf>
    <xf numFmtId="0" fontId="7" fillId="2" borderId="0" applyAlignment="1" pivotButton="0" quotePrefix="0" xfId="0">
      <alignment horizontal="center" vertical="center"/>
    </xf>
    <xf numFmtId="3" fontId="15" fillId="2" borderId="0" applyAlignment="1" pivotButton="0" quotePrefix="0" xfId="0">
      <alignment horizontal="center" vertical="center"/>
    </xf>
    <xf numFmtId="2" fontId="3" fillId="7" borderId="0" applyAlignment="1" pivotButton="0" quotePrefix="0" xfId="0">
      <alignment horizontal="center" vertical="center"/>
    </xf>
    <xf numFmtId="9" fontId="16" fillId="8" borderId="0" applyAlignment="1" pivotButton="0" quotePrefix="0" xfId="0">
      <alignment horizontal="center" vertical="center"/>
    </xf>
    <xf numFmtId="0" fontId="19" fillId="11" borderId="0" applyAlignment="1" pivotButton="0" quotePrefix="0" xfId="0">
      <alignment horizontal="left" vertical="center"/>
    </xf>
    <xf numFmtId="0" fontId="19" fillId="11" borderId="0" applyAlignment="1" pivotButton="0" quotePrefix="0" xfId="0">
      <alignment horizontal="center" vertical="center"/>
    </xf>
    <xf numFmtId="0" fontId="21" fillId="12" borderId="0" applyAlignment="1" pivotButton="0" quotePrefix="0" xfId="0">
      <alignment horizontal="left" vertical="center"/>
    </xf>
    <xf numFmtId="9" fontId="22" fillId="13" borderId="0" applyAlignment="1" pivotButton="0" quotePrefix="0" xfId="0">
      <alignment horizontal="center" vertical="center"/>
    </xf>
    <xf numFmtId="3" fontId="22" fillId="13" borderId="0" applyAlignment="1" pivotButton="0" quotePrefix="0" xfId="0">
      <alignment horizontal="center" vertical="center"/>
    </xf>
    <xf numFmtId="3" fontId="23" fillId="13" borderId="0" applyAlignment="1" pivotButton="0" quotePrefix="0" xfId="0">
      <alignment horizontal="center" vertical="center"/>
    </xf>
    <xf numFmtId="0" fontId="20" fillId="8" borderId="0" applyAlignment="1" pivotButton="0" quotePrefix="0" xfId="0">
      <alignment horizontal="left" vertical="center"/>
    </xf>
    <xf numFmtId="0" fontId="24" fillId="8" borderId="0" applyAlignment="1" pivotButton="0" quotePrefix="0" xfId="0">
      <alignment horizontal="left" vertical="center"/>
    </xf>
    <xf numFmtId="3" fontId="25" fillId="8" borderId="0" applyAlignment="1" pivotButton="0" quotePrefix="0" xfId="0">
      <alignment horizontal="center" vertical="center"/>
    </xf>
    <xf numFmtId="0" fontId="26" fillId="9" borderId="0" applyAlignment="1" pivotButton="0" quotePrefix="0" xfId="0">
      <alignment horizontal="left" vertical="center"/>
    </xf>
    <xf numFmtId="0" fontId="0" fillId="9" borderId="0" pivotButton="0" quotePrefix="0" xfId="0"/>
    <xf numFmtId="3" fontId="26" fillId="9" borderId="0" applyAlignment="1" pivotButton="0" quotePrefix="0" xfId="0">
      <alignment horizontal="center" vertical="center"/>
    </xf>
    <xf numFmtId="3" fontId="24" fillId="8" borderId="0" applyAlignment="1" pivotButton="0" quotePrefix="0" xfId="0">
      <alignment horizontal="left" vertical="center"/>
    </xf>
    <xf numFmtId="3" fontId="27" fillId="14" borderId="0" applyAlignment="1" pivotButton="0" quotePrefix="0" xfId="0">
      <alignment horizontal="center" vertical="center"/>
    </xf>
    <xf numFmtId="9" fontId="27" fillId="14" borderId="0" applyAlignment="1" pivotButton="0" quotePrefix="0" xfId="0">
      <alignment horizontal="center" vertical="center"/>
    </xf>
    <xf numFmtId="0" fontId="30" fillId="17" borderId="0" applyAlignment="1" pivotButton="0" quotePrefix="0" xfId="0">
      <alignment horizontal="left" vertical="center"/>
    </xf>
    <xf numFmtId="0" fontId="30" fillId="17" borderId="0" applyAlignment="1" pivotButton="0" quotePrefix="0" xfId="0">
      <alignment horizontal="center" vertical="center"/>
    </xf>
    <xf numFmtId="0" fontId="32" fillId="18" borderId="0" applyAlignment="1" pivotButton="0" quotePrefix="0" xfId="0">
      <alignment horizontal="left" vertical="center"/>
    </xf>
    <xf numFmtId="3" fontId="33" fillId="19" borderId="0" applyAlignment="1" pivotButton="0" quotePrefix="0" xfId="0">
      <alignment horizontal="center" vertical="center"/>
    </xf>
    <xf numFmtId="3" fontId="34" fillId="19" borderId="0" applyAlignment="1" pivotButton="0" quotePrefix="0" xfId="0">
      <alignment horizontal="center" vertical="center"/>
    </xf>
    <xf numFmtId="0" fontId="31" fillId="14" borderId="0" applyAlignment="1" pivotButton="0" quotePrefix="0" xfId="0">
      <alignment horizontal="left" vertical="center"/>
    </xf>
    <xf numFmtId="3" fontId="35" fillId="14" borderId="0" applyAlignment="1" pivotButton="0" quotePrefix="0" xfId="0">
      <alignment horizontal="center" vertical="center"/>
    </xf>
    <xf numFmtId="0" fontId="36" fillId="15" borderId="0" applyAlignment="1" pivotButton="0" quotePrefix="0" xfId="0">
      <alignment horizontal="left" vertical="center"/>
    </xf>
    <xf numFmtId="3" fontId="36" fillId="15" borderId="0" applyAlignment="1" pivotButton="0" quotePrefix="0" xfId="0">
      <alignment horizontal="center" vertical="center"/>
    </xf>
    <xf numFmtId="0" fontId="39" fillId="0" borderId="0" applyAlignment="1" pivotButton="0" quotePrefix="0" xfId="0">
      <alignment horizontal="left" vertical="center"/>
    </xf>
    <xf numFmtId="0" fontId="40" fillId="22" borderId="0" applyAlignment="1" pivotButton="0" quotePrefix="0" xfId="0">
      <alignment horizontal="center" vertical="center"/>
    </xf>
    <xf numFmtId="0" fontId="41" fillId="23" borderId="0" applyAlignment="1" pivotButton="0" quotePrefix="0" xfId="0">
      <alignment horizontal="center" vertical="center"/>
    </xf>
    <xf numFmtId="0" fontId="42" fillId="24" borderId="0" applyAlignment="1" pivotButton="0" quotePrefix="0" xfId="0">
      <alignment horizontal="center" vertical="center"/>
    </xf>
    <xf numFmtId="0" fontId="39" fillId="25" borderId="0" applyAlignment="1" pivotButton="0" quotePrefix="0" xfId="0">
      <alignment horizontal="left" vertical="center"/>
    </xf>
    <xf numFmtId="0" fontId="39" fillId="25" borderId="0" applyAlignment="1" pivotButton="0" quotePrefix="0" xfId="0">
      <alignment horizontal="center" vertical="center"/>
    </xf>
    <xf numFmtId="0" fontId="43" fillId="25" borderId="0" applyAlignment="1" pivotButton="0" quotePrefix="0" xfId="0">
      <alignment horizontal="center" vertical="center"/>
    </xf>
    <xf numFmtId="0" fontId="44" fillId="26" borderId="0" applyAlignment="1" pivotButton="0" quotePrefix="0" xfId="0">
      <alignment horizontal="center" vertical="center"/>
    </xf>
    <xf numFmtId="0" fontId="45" fillId="24" borderId="0" applyAlignment="1" pivotButton="0" quotePrefix="0" xfId="0">
      <alignment horizontal="center" vertical="center"/>
    </xf>
    <xf numFmtId="0" fontId="46" fillId="27" borderId="0" applyAlignment="1" pivotButton="0" quotePrefix="0" xfId="0">
      <alignment horizontal="left" vertical="center"/>
    </xf>
    <xf numFmtId="3" fontId="47" fillId="22" borderId="0" applyAlignment="1" pivotButton="0" quotePrefix="0" xfId="0">
      <alignment horizontal="center" vertical="center"/>
    </xf>
    <xf numFmtId="3" fontId="48" fillId="23" borderId="0" applyAlignment="1" pivotButton="0" quotePrefix="0" xfId="0">
      <alignment horizontal="center" vertical="center"/>
    </xf>
    <xf numFmtId="3" fontId="49" fillId="26" borderId="0" applyAlignment="1" pivotButton="0" quotePrefix="0" xfId="0">
      <alignment horizontal="center" vertical="center"/>
    </xf>
    <xf numFmtId="3" fontId="50" fillId="24" borderId="0" applyAlignment="1" pivotButton="0" quotePrefix="0" xfId="0">
      <alignment horizontal="center" vertical="center"/>
    </xf>
    <xf numFmtId="0" fontId="51" fillId="27" borderId="0" applyAlignment="1" pivotButton="0" quotePrefix="0" xfId="0">
      <alignment horizontal="left" vertical="center"/>
    </xf>
    <xf numFmtId="3" fontId="52" fillId="22" borderId="0" applyAlignment="1" pivotButton="0" quotePrefix="0" xfId="0">
      <alignment horizontal="center" vertical="center"/>
    </xf>
    <xf numFmtId="3" fontId="53" fillId="23" borderId="0" applyAlignment="1" pivotButton="0" quotePrefix="0" xfId="0">
      <alignment horizontal="center" vertical="center"/>
    </xf>
    <xf numFmtId="3" fontId="54" fillId="24" borderId="0" applyAlignment="1" pivotButton="0" quotePrefix="0" xfId="0">
      <alignment horizontal="center" vertical="center"/>
    </xf>
    <xf numFmtId="0" fontId="55" fillId="25" borderId="0" applyAlignment="1" pivotButton="0" quotePrefix="0" xfId="0">
      <alignment horizontal="left" vertical="center"/>
    </xf>
    <xf numFmtId="164" fontId="53" fillId="23" borderId="0" applyAlignment="1" pivotButton="0" quotePrefix="0" xfId="0">
      <alignment horizontal="center" vertical="center"/>
    </xf>
    <xf numFmtId="10" fontId="49" fillId="26" borderId="0" applyAlignment="1" pivotButton="0" quotePrefix="0" xfId="0">
      <alignment horizontal="center" vertical="center"/>
    </xf>
    <xf numFmtId="0" fontId="58" fillId="0" borderId="0" applyAlignment="1" pivotButton="0" quotePrefix="0" xfId="0">
      <alignment horizontal="left" vertical="center"/>
    </xf>
    <xf numFmtId="0" fontId="59" fillId="30" borderId="0" applyAlignment="1" pivotButton="0" quotePrefix="0" xfId="0">
      <alignment horizontal="center" vertical="center"/>
    </xf>
    <xf numFmtId="0" fontId="60" fillId="31" borderId="0" applyAlignment="1" pivotButton="0" quotePrefix="0" xfId="0">
      <alignment horizontal="center" vertical="center"/>
    </xf>
    <xf numFmtId="0" fontId="61" fillId="32" borderId="0" applyAlignment="1" pivotButton="0" quotePrefix="0" xfId="0">
      <alignment horizontal="center" vertical="center"/>
    </xf>
    <xf numFmtId="0" fontId="62" fillId="33" borderId="0" applyAlignment="1" pivotButton="0" quotePrefix="0" xfId="0">
      <alignment horizontal="center" vertical="center"/>
    </xf>
    <xf numFmtId="0" fontId="63" fillId="30" borderId="0" applyAlignment="1" pivotButton="0" quotePrefix="0" xfId="0">
      <alignment horizontal="center" vertical="center"/>
    </xf>
    <xf numFmtId="0" fontId="64" fillId="31" borderId="0" applyAlignment="1" pivotButton="0" quotePrefix="0" xfId="0">
      <alignment horizontal="center" vertical="center"/>
    </xf>
    <xf numFmtId="0" fontId="65" fillId="32" borderId="0" applyAlignment="1" pivotButton="0" quotePrefix="0" xfId="0">
      <alignment horizontal="center" vertical="center"/>
    </xf>
    <xf numFmtId="0" fontId="66" fillId="33" borderId="0" applyAlignment="1" pivotButton="0" quotePrefix="0" xfId="0">
      <alignment horizontal="center" vertical="center"/>
    </xf>
    <xf numFmtId="0" fontId="67" fillId="34" borderId="0" applyAlignment="1" pivotButton="0" quotePrefix="0" xfId="0">
      <alignment horizontal="left" vertical="center"/>
    </xf>
    <xf numFmtId="3" fontId="62" fillId="33" borderId="0" applyAlignment="1" pivotButton="0" quotePrefix="0" xfId="0">
      <alignment horizontal="center" vertical="center"/>
    </xf>
    <xf numFmtId="0" fontId="68" fillId="34" borderId="0" applyAlignment="1" pivotButton="0" quotePrefix="0" xfId="0">
      <alignment horizontal="left" vertical="center"/>
    </xf>
    <xf numFmtId="3" fontId="69" fillId="30" borderId="0" applyAlignment="1" pivotButton="0" quotePrefix="0" xfId="0">
      <alignment horizontal="center" vertical="center"/>
    </xf>
    <xf numFmtId="3" fontId="70" fillId="31" borderId="0" applyAlignment="1" pivotButton="0" quotePrefix="0" xfId="0">
      <alignment horizontal="center" vertical="center"/>
    </xf>
    <xf numFmtId="3" fontId="71" fillId="32" borderId="0" applyAlignment="1" pivotButton="0" quotePrefix="0" xfId="0">
      <alignment horizontal="center" vertical="center"/>
    </xf>
    <xf numFmtId="164" fontId="71" fillId="32" borderId="0" applyAlignment="1" pivotButton="0" quotePrefix="0" xfId="0">
      <alignment horizontal="center" vertical="center"/>
    </xf>
    <xf numFmtId="0" fontId="72" fillId="35" borderId="0" applyAlignment="1" pivotButton="0" quotePrefix="0" xfId="0">
      <alignment horizontal="left" vertical="center"/>
    </xf>
    <xf numFmtId="0" fontId="10" fillId="32" borderId="0" applyAlignment="1" pivotButton="0" quotePrefix="0" xfId="0">
      <alignment horizontal="center" vertical="center"/>
    </xf>
    <xf numFmtId="10" fontId="69" fillId="30" borderId="0" applyAlignment="1" pivotButton="0" quotePrefix="0" xfId="0">
      <alignment horizontal="center" vertical="center"/>
    </xf>
    <xf numFmtId="10" fontId="70" fillId="31" borderId="0" applyAlignment="1" pivotButton="0" quotePrefix="0" xfId="0">
      <alignment horizontal="center" vertical="center"/>
    </xf>
    <xf numFmtId="10" fontId="71" fillId="32" borderId="0" applyAlignment="1" pivotButton="0" quotePrefix="0" xfId="0">
      <alignment horizontal="center" vertical="center"/>
    </xf>
    <xf numFmtId="10" fontId="62" fillId="33" borderId="0" applyAlignment="1" pivotButton="0" quotePrefix="0" xfId="0">
      <alignment horizontal="center" vertical="center"/>
    </xf>
    <xf numFmtId="0" fontId="73" fillId="33" borderId="0" applyAlignment="1" pivotButton="0" quotePrefix="0" xfId="0">
      <alignment horizontal="center" vertical="center"/>
    </xf>
    <xf numFmtId="0" fontId="76" fillId="0" borderId="0" applyAlignment="1" pivotButton="0" quotePrefix="0" xfId="0">
      <alignment horizontal="left" vertical="center"/>
    </xf>
    <xf numFmtId="0" fontId="77" fillId="38" borderId="0" applyAlignment="1" pivotButton="0" quotePrefix="0" xfId="0">
      <alignment horizontal="center" vertical="center"/>
    </xf>
    <xf numFmtId="0" fontId="78" fillId="39" borderId="0" applyAlignment="1" pivotButton="0" quotePrefix="0" xfId="0">
      <alignment horizontal="center" vertical="center"/>
    </xf>
    <xf numFmtId="0" fontId="79" fillId="40" borderId="0" applyAlignment="1" pivotButton="0" quotePrefix="0" xfId="0">
      <alignment horizontal="center" vertical="center"/>
    </xf>
    <xf numFmtId="0" fontId="76" fillId="41" borderId="0" applyAlignment="1" pivotButton="0" quotePrefix="0" xfId="0">
      <alignment horizontal="left" vertical="center"/>
    </xf>
    <xf numFmtId="0" fontId="80" fillId="38" borderId="0" applyAlignment="1" pivotButton="0" quotePrefix="0" xfId="0">
      <alignment horizontal="center" vertical="center"/>
    </xf>
    <xf numFmtId="0" fontId="81" fillId="41" borderId="0" applyAlignment="1" pivotButton="0" quotePrefix="0" xfId="0">
      <alignment horizontal="center" vertical="center"/>
    </xf>
    <xf numFmtId="0" fontId="82" fillId="40" borderId="0" applyAlignment="1" pivotButton="0" quotePrefix="0" xfId="0">
      <alignment horizontal="center" vertical="center"/>
    </xf>
    <xf numFmtId="0" fontId="84" fillId="42" borderId="0" applyAlignment="1" pivotButton="0" quotePrefix="0" xfId="0">
      <alignment horizontal="left" vertical="center"/>
    </xf>
    <xf numFmtId="3" fontId="85" fillId="38" borderId="0" applyAlignment="1" pivotButton="0" quotePrefix="0" xfId="0">
      <alignment horizontal="center" vertical="center"/>
    </xf>
    <xf numFmtId="3" fontId="86" fillId="39" borderId="0" applyAlignment="1" pivotButton="0" quotePrefix="0" xfId="0">
      <alignment horizontal="center" vertical="center"/>
    </xf>
    <xf numFmtId="3" fontId="87" fillId="40" borderId="0" applyAlignment="1" pivotButton="0" quotePrefix="0" xfId="0">
      <alignment horizontal="center" vertical="center"/>
    </xf>
    <xf numFmtId="0" fontId="88" fillId="42" borderId="0" applyAlignment="1" pivotButton="0" quotePrefix="0" xfId="0">
      <alignment horizontal="left" vertical="center"/>
    </xf>
    <xf numFmtId="3" fontId="89" fillId="38" borderId="0" applyAlignment="1" pivotButton="0" quotePrefix="0" xfId="0">
      <alignment horizontal="center" vertical="center"/>
    </xf>
    <xf numFmtId="3" fontId="90" fillId="39" borderId="0" applyAlignment="1" pivotButton="0" quotePrefix="0" xfId="0">
      <alignment horizontal="center" vertical="center"/>
    </xf>
    <xf numFmtId="0" fontId="91" fillId="41" borderId="0" applyAlignment="1" pivotButton="0" quotePrefix="0" xfId="0">
      <alignment horizontal="left" vertical="center"/>
    </xf>
    <xf numFmtId="164" fontId="86" fillId="39" borderId="0" applyAlignment="1" pivotButton="0" quotePrefix="0" xfId="0">
      <alignment horizontal="center" vertical="center"/>
    </xf>
    <xf numFmtId="164" fontId="87" fillId="40" borderId="0" applyAlignment="1" pivotButton="0" quotePrefix="0" xfId="0">
      <alignment horizontal="center" vertical="center"/>
    </xf>
    <xf numFmtId="0" fontId="92" fillId="43" borderId="0" applyAlignment="1" pivotButton="0" quotePrefix="0" xfId="0">
      <alignment horizontal="center" vertical="center"/>
    </xf>
    <xf numFmtId="0" fontId="93" fillId="39" borderId="0" applyAlignment="1" pivotButton="0" quotePrefix="0" xfId="0">
      <alignment horizontal="center" vertical="center"/>
    </xf>
    <xf numFmtId="0" fontId="94" fillId="44" borderId="0" applyAlignment="1" pivotButton="0" quotePrefix="0" xfId="0">
      <alignment horizontal="center" vertical="center"/>
    </xf>
    <xf numFmtId="3" fontId="95" fillId="43" borderId="0" applyAlignment="1" pivotButton="0" quotePrefix="0" xfId="0">
      <alignment horizontal="center" vertical="center"/>
    </xf>
    <xf numFmtId="3" fontId="96" fillId="44" borderId="0" applyAlignment="1" pivotButton="0" quotePrefix="0" xfId="0">
      <alignment horizontal="center" vertical="center"/>
    </xf>
    <xf numFmtId="164" fontId="95" fillId="43" borderId="0" applyAlignment="1" pivotButton="0" quotePrefix="0" xfId="0">
      <alignment horizontal="center" vertical="center"/>
    </xf>
    <xf numFmtId="164" fontId="90" fillId="39" borderId="0" applyAlignment="1" pivotButton="0" quotePrefix="0" xfId="0">
      <alignment horizontal="center" vertical="center"/>
    </xf>
    <xf numFmtId="164" fontId="96" fillId="44" borderId="0" applyAlignment="1" pivotButton="0" quotePrefix="0" xfId="0">
      <alignment horizontal="center" vertical="center"/>
    </xf>
    <xf numFmtId="3" fontId="97" fillId="43" borderId="0" applyAlignment="1" pivotButton="0" quotePrefix="0" xfId="0">
      <alignment horizontal="center" vertical="center"/>
    </xf>
    <xf numFmtId="3" fontId="98" fillId="44" borderId="0" applyAlignment="1" pivotButton="0" quotePrefix="0" xfId="0">
      <alignment horizontal="center" vertical="center"/>
    </xf>
    <xf numFmtId="164" fontId="97" fillId="43" borderId="0" applyAlignment="1" pivotButton="0" quotePrefix="0" xfId="0">
      <alignment horizontal="center" vertical="center"/>
    </xf>
    <xf numFmtId="164" fontId="98" fillId="44" borderId="0" applyAlignment="1" pivotButton="0" quotePrefix="0" xfId="0">
      <alignment horizontal="center" vertical="center"/>
    </xf>
    <xf numFmtId="0" fontId="99" fillId="37" borderId="0" applyAlignment="1" pivotButton="0" quotePrefix="0" xfId="0">
      <alignment horizontal="center" vertical="center"/>
    </xf>
    <xf numFmtId="3" fontId="100" fillId="39" borderId="0" applyAlignment="1" pivotButton="0" quotePrefix="0" xfId="0">
      <alignment horizontal="center" vertical="center"/>
    </xf>
    <xf numFmtId="164" fontId="100" fillId="39" borderId="0" applyAlignment="1" pivotButton="0" quotePrefix="0" xfId="0">
      <alignment horizontal="center" vertical="center"/>
    </xf>
    <xf numFmtId="0" fontId="101" fillId="37" borderId="0" applyAlignment="1" pivotButton="0" quotePrefix="0" xfId="0">
      <alignment horizontal="center" vertical="center"/>
    </xf>
    <xf numFmtId="0" fontId="102" fillId="38" borderId="0" applyAlignment="1" pivotButton="0" quotePrefix="0" xfId="0">
      <alignment horizontal="center" vertical="center"/>
    </xf>
    <xf numFmtId="49" fontId="86" fillId="39" borderId="0" applyAlignment="1" pivotButton="0" quotePrefix="0" xfId="0">
      <alignment horizontal="center" vertical="center"/>
    </xf>
    <xf numFmtId="49" fontId="90" fillId="39" borderId="0" applyAlignment="1" pivotButton="0" quotePrefix="0" xfId="0">
      <alignment horizontal="center" vertical="center"/>
    </xf>
    <xf numFmtId="164" fontId="85" fillId="38" borderId="0" applyAlignment="1" pivotButton="0" quotePrefix="0" xfId="0">
      <alignment horizontal="center" vertical="center"/>
    </xf>
    <xf numFmtId="0" fontId="6" fillId="0" borderId="0" applyAlignment="1" pivotButton="0" quotePrefix="0" xfId="0">
      <alignment horizontal="left" vertical="top" wrapText="1"/>
    </xf>
    <xf numFmtId="0" fontId="0" fillId="0" borderId="0" pivotButton="0" quotePrefix="0" xfId="0"/>
    <xf numFmtId="0" fontId="57" fillId="29" borderId="0" applyAlignment="1" pivotButton="0" quotePrefix="0" xfId="0">
      <alignment horizontal="left" vertical="center"/>
    </xf>
    <xf numFmtId="0" fontId="62" fillId="28" borderId="0" applyAlignment="1" pivotButton="0" quotePrefix="0" xfId="0">
      <alignment horizontal="center" vertical="center"/>
    </xf>
    <xf numFmtId="0" fontId="62" fillId="33" borderId="0" applyAlignment="1" pivotButton="0" quotePrefix="0" xfId="0">
      <alignment horizontal="center" vertical="center"/>
    </xf>
    <xf numFmtId="0" fontId="56" fillId="28" borderId="0" applyAlignment="1" pivotButton="0" quotePrefix="0" xfId="0">
      <alignment horizontal="left" vertical="center"/>
    </xf>
    <xf numFmtId="0" fontId="15" fillId="28" borderId="0" applyAlignment="1" pivotButton="0" quotePrefix="0" xfId="0">
      <alignment horizontal="left" vertical="center"/>
    </xf>
    <xf numFmtId="0" fontId="7" fillId="2" borderId="0" applyAlignment="1" pivotButton="0" quotePrefix="0" xfId="0">
      <alignment horizontal="left" vertical="center"/>
    </xf>
    <xf numFmtId="0" fontId="2" fillId="3" borderId="0" applyAlignment="1" pivotButton="0" quotePrefix="0" xfId="0">
      <alignment horizontal="left" vertical="center"/>
    </xf>
    <xf numFmtId="0" fontId="1" fillId="2" borderId="0" applyAlignment="1" pivotButton="0" quotePrefix="0" xfId="0">
      <alignment horizontal="left" vertical="center"/>
    </xf>
    <xf numFmtId="0" fontId="9" fillId="4" borderId="0" applyAlignment="1" pivotButton="0" quotePrefix="0" xfId="0">
      <alignment horizontal="center" vertical="center"/>
    </xf>
    <xf numFmtId="0" fontId="12" fillId="7" borderId="0" pivotButton="0" quotePrefix="0" xfId="0"/>
    <xf numFmtId="0" fontId="11" fillId="2" borderId="0" applyAlignment="1" pivotButton="0" quotePrefix="0" xfId="0">
      <alignment horizontal="left" vertical="center"/>
    </xf>
    <xf numFmtId="0" fontId="20" fillId="11" borderId="0" applyAlignment="1" pivotButton="0" quotePrefix="0" xfId="0">
      <alignment horizontal="left" vertical="center"/>
    </xf>
    <xf numFmtId="0" fontId="18" fillId="10" borderId="0" applyAlignment="1" pivotButton="0" quotePrefix="0" xfId="0">
      <alignment horizontal="left" vertical="center"/>
    </xf>
    <xf numFmtId="0" fontId="17" fillId="9" borderId="0" applyAlignment="1" pivotButton="0" quotePrefix="0" xfId="0">
      <alignment horizontal="left" vertical="center"/>
    </xf>
    <xf numFmtId="0" fontId="29" fillId="16" borderId="0" applyAlignment="1" pivotButton="0" quotePrefix="0" xfId="0">
      <alignment horizontal="left" vertical="center"/>
    </xf>
    <xf numFmtId="0" fontId="31" fillId="17" borderId="0" applyAlignment="1" pivotButton="0" quotePrefix="0" xfId="0">
      <alignment horizontal="left" vertical="center"/>
    </xf>
    <xf numFmtId="0" fontId="28" fillId="15" borderId="0" applyAlignment="1" pivotButton="0" quotePrefix="0" xfId="0">
      <alignment horizontal="left" vertical="center"/>
    </xf>
    <xf numFmtId="0" fontId="38" fillId="21" borderId="0" applyAlignment="1" pivotButton="0" quotePrefix="0" xfId="0">
      <alignment horizontal="left" vertical="center"/>
    </xf>
    <xf numFmtId="0" fontId="37" fillId="20" borderId="0" applyAlignment="1" pivotButton="0" quotePrefix="0" xfId="0">
      <alignment horizontal="left" vertical="center"/>
    </xf>
    <xf numFmtId="0" fontId="83" fillId="0" borderId="0" applyAlignment="1" pivotButton="0" quotePrefix="0" xfId="0">
      <alignment horizontal="left" vertical="center"/>
    </xf>
    <xf numFmtId="0" fontId="75" fillId="37" borderId="0" applyAlignment="1" pivotButton="0" quotePrefix="0" xfId="0">
      <alignment horizontal="left" vertical="center" wrapText="1"/>
    </xf>
    <xf numFmtId="0" fontId="74" fillId="36" borderId="0" applyAlignment="1" pivotButton="0" quotePrefix="0" xfId="0">
      <alignment horizontal="left" vertical="center"/>
    </xf>
    <xf numFmtId="0" fontId="87" fillId="36" borderId="0" applyAlignment="1" pivotButton="0" quotePrefix="0" xfId="0">
      <alignment horizontal="left" vertical="center"/>
    </xf>
    <xf numFmtId="0" fontId="75" fillId="37" borderId="0" applyAlignment="1" pivotButton="0" quotePrefix="0" xfId="0">
      <alignment horizontal="left" vertical="center"/>
    </xf>
    <xf numFmtId="10" fontId="87" fillId="40" borderId="0" applyAlignment="1" pivotButton="0" quotePrefix="0" xfId="0">
      <alignment horizontal="center" vertical="center"/>
    </xf>
    <xf numFmtId="3" fontId="25" fillId="43" borderId="0" applyAlignment="1" pivotButton="0" quotePrefix="0" xfId="0">
      <alignment horizontal="center" vertical="center"/>
    </xf>
    <xf numFmtId="3" fontId="14" fillId="39" borderId="0" applyAlignment="1" pivotButton="0" quotePrefix="0" xfId="0">
      <alignment horizontal="center" vertical="center"/>
    </xf>
    <xf numFmtId="10" fontId="86" fillId="39" borderId="0" applyAlignment="1" pivotButton="0" quotePrefix="0" xfId="0">
      <alignment horizontal="center" vertical="center"/>
    </xf>
  </cellXfs>
  <cellStyles count="1">
    <cellStyle name="Normal" xfId="0" builtinId="0"/>
  </cellStyles>
  <dxfs count="15">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FF4472C4"/>
    <outlinePr summaryBelow="1" summaryRight="1"/>
    <pageSetUpPr/>
  </sheetPr>
  <dimension ref="A1:E56"/>
  <sheetViews>
    <sheetView workbookViewId="0">
      <pane ySplit="4" topLeftCell="A29" activePane="bottomLeft" state="frozen"/>
      <selection pane="bottomLeft" activeCell="B54" sqref="B54"/>
    </sheetView>
  </sheetViews>
  <sheetFormatPr baseColWidth="10" defaultColWidth="8.83203125" defaultRowHeight="15"/>
  <cols>
    <col width="26" customWidth="1" style="130" min="1" max="1"/>
    <col width="16" customWidth="1" style="130" min="2" max="4"/>
    <col width="22" customWidth="1" style="130" min="5" max="5"/>
  </cols>
  <sheetData>
    <row r="1" ht="28" customHeight="1" s="130">
      <c r="A1" s="138" t="inlineStr">
        <is>
          <t>ZARA &amp; CO. — FP&amp;A MODEL FY2025</t>
        </is>
      </c>
    </row>
    <row r="2" ht="16" customHeight="1" s="130">
      <c r="A2" s="137" t="inlineStr">
        <is>
          <t>Assumptions Tab — All inputs live here. Never hardcode numbers in other tabs.</t>
        </is>
      </c>
    </row>
    <row r="3" ht="16" customHeight="1" s="130">
      <c r="A3" s="1" t="inlineStr">
        <is>
          <t>Colour key:</t>
        </is>
      </c>
      <c r="B3" s="2" t="inlineStr">
        <is>
          <t xml:space="preserve">  Blue = Hardcoded input  </t>
        </is>
      </c>
      <c r="C3" s="3" t="inlineStr">
        <is>
          <t xml:space="preserve">  Green = Formula  </t>
        </is>
      </c>
      <c r="D3" s="4" t="inlineStr">
        <is>
          <t>(Black = formula in other tabs)</t>
        </is>
      </c>
    </row>
    <row r="4" ht="8" customHeight="1" s="130"/>
    <row r="5" ht="18" customHeight="1" s="130">
      <c r="A5" s="136" t="inlineStr">
        <is>
          <t>A. MODEL PARAMETERS</t>
        </is>
      </c>
    </row>
    <row r="6" ht="18" customHeight="1" s="130">
      <c r="A6" s="5" t="inlineStr">
        <is>
          <t>Fiscal Year</t>
        </is>
      </c>
      <c r="B6" s="6" t="n">
        <v>2025</v>
      </c>
      <c r="C6" s="5" t="inlineStr">
        <is>
          <t>Currency</t>
        </is>
      </c>
      <c r="D6" s="139" t="inlineStr">
        <is>
          <t>AED</t>
        </is>
      </c>
    </row>
    <row r="7" ht="18" customHeight="1" s="130">
      <c r="A7" s="5" t="inlineStr">
        <is>
          <t>Company Name</t>
        </is>
      </c>
      <c r="B7" s="139" t="inlineStr">
        <is>
          <t>Zara &amp; Co.</t>
        </is>
      </c>
    </row>
    <row r="8" ht="8" customHeight="1" s="130"/>
    <row r="9" ht="18" customHeight="1" s="130">
      <c r="A9" s="136" t="inlineStr">
        <is>
          <t>B. OUTLETS &amp; PRODUCT CATEGORIES</t>
        </is>
      </c>
    </row>
    <row r="10" ht="18" customHeight="1" s="130">
      <c r="A10" s="5" t="inlineStr">
        <is>
          <t>Outlet 1</t>
        </is>
      </c>
      <c r="B10" s="139" t="inlineStr">
        <is>
          <t>Dubai Mall</t>
        </is>
      </c>
      <c r="C10" s="5" t="inlineStr">
        <is>
          <t>Category 1</t>
        </is>
      </c>
      <c r="D10" s="139" t="inlineStr">
        <is>
          <t>Women's Wear</t>
        </is>
      </c>
    </row>
    <row r="11" ht="18" customHeight="1" s="130">
      <c r="A11" s="5" t="inlineStr">
        <is>
          <t>Outlet 2</t>
        </is>
      </c>
      <c r="B11" s="139" t="inlineStr">
        <is>
          <t>Marina Mall</t>
        </is>
      </c>
      <c r="C11" s="5" t="inlineStr">
        <is>
          <t>Category 2</t>
        </is>
      </c>
      <c r="D11" s="139" t="inlineStr">
        <is>
          <t>Men's Wear</t>
        </is>
      </c>
    </row>
    <row r="12" ht="18" customHeight="1" s="130">
      <c r="A12" s="5" t="inlineStr">
        <is>
          <t>Outlet 3</t>
        </is>
      </c>
      <c r="B12" s="139" t="inlineStr">
        <is>
          <t>Online</t>
        </is>
      </c>
      <c r="C12" s="5" t="inlineStr">
        <is>
          <t>Category 3</t>
        </is>
      </c>
      <c r="D12" s="139" t="inlineStr">
        <is>
          <t>Kids' Wear</t>
        </is>
      </c>
    </row>
    <row r="13" ht="18" customHeight="1" s="130">
      <c r="C13" s="5" t="inlineStr">
        <is>
          <t>Category 4</t>
        </is>
      </c>
      <c r="D13" s="139" t="inlineStr">
        <is>
          <t>Accessories</t>
        </is>
      </c>
    </row>
    <row r="14" ht="8" customHeight="1" s="130"/>
    <row r="15" ht="18" customHeight="1" s="130">
      <c r="A15" s="136" t="inlineStr">
        <is>
          <t>C. SEASONALITY MULTIPLIERS  (1.00 = base month)</t>
        </is>
      </c>
    </row>
    <row r="16" ht="16" customHeight="1" s="130">
      <c r="A16" s="8" t="inlineStr">
        <is>
          <t>Month</t>
        </is>
      </c>
      <c r="B16" s="8" t="inlineStr">
        <is>
          <t>Multiplier</t>
        </is>
      </c>
      <c r="C16" s="8" t="inlineStr">
        <is>
          <t>Note</t>
        </is>
      </c>
    </row>
    <row r="17" ht="17" customHeight="1" s="130">
      <c r="A17" s="5" t="inlineStr">
        <is>
          <t>January</t>
        </is>
      </c>
      <c r="B17" s="9" t="n">
        <v>1.05</v>
      </c>
      <c r="C17" s="4" t="inlineStr">
        <is>
          <t>Post-holiday shopping</t>
        </is>
      </c>
    </row>
    <row r="18" ht="17" customHeight="1" s="130">
      <c r="A18" s="5" t="inlineStr">
        <is>
          <t>February</t>
        </is>
      </c>
      <c r="B18" s="9" t="n">
        <v>1</v>
      </c>
    </row>
    <row r="19" ht="17" customHeight="1" s="130">
      <c r="A19" s="5" t="inlineStr">
        <is>
          <t>March</t>
        </is>
      </c>
      <c r="B19" s="9" t="n">
        <v>1.2</v>
      </c>
      <c r="C19" s="4" t="inlineStr">
        <is>
          <t>Ramadan — higher footfall &amp; gifting</t>
        </is>
      </c>
    </row>
    <row r="20" ht="17" customHeight="1" s="130">
      <c r="A20" s="5" t="inlineStr">
        <is>
          <t>April</t>
        </is>
      </c>
      <c r="B20" s="9" t="n">
        <v>0.9</v>
      </c>
      <c r="C20" s="4" t="inlineStr">
        <is>
          <t>Post-Ramadan dip</t>
        </is>
      </c>
    </row>
    <row r="21" ht="17" customHeight="1" s="130">
      <c r="A21" s="5" t="inlineStr">
        <is>
          <t>May</t>
        </is>
      </c>
      <c r="B21" s="9" t="n">
        <v>1</v>
      </c>
    </row>
    <row r="22" ht="17" customHeight="1" s="130">
      <c r="A22" s="5" t="inlineStr">
        <is>
          <t>June</t>
        </is>
      </c>
      <c r="B22" s="9" t="n">
        <v>0.85</v>
      </c>
      <c r="C22" s="4" t="inlineStr">
        <is>
          <t>Summer begins</t>
        </is>
      </c>
    </row>
    <row r="23" ht="17" customHeight="1" s="130">
      <c r="A23" s="5" t="inlineStr">
        <is>
          <t>July</t>
        </is>
      </c>
      <c r="B23" s="9" t="n">
        <v>0.8</v>
      </c>
      <c r="C23" s="4" t="inlineStr">
        <is>
          <t>Peak summer — expat travel</t>
        </is>
      </c>
    </row>
    <row r="24" ht="17" customHeight="1" s="130">
      <c r="A24" s="5" t="inlineStr">
        <is>
          <t>August</t>
        </is>
      </c>
      <c r="B24" s="9" t="n">
        <v>0.85</v>
      </c>
      <c r="C24" s="4" t="inlineStr">
        <is>
          <t>Summer</t>
        </is>
      </c>
    </row>
    <row r="25" ht="17" customHeight="1" s="130">
      <c r="A25" s="5" t="inlineStr">
        <is>
          <t>September</t>
        </is>
      </c>
      <c r="B25" s="9" t="n">
        <v>1.05</v>
      </c>
      <c r="C25" s="4" t="inlineStr">
        <is>
          <t>Back to school / work</t>
        </is>
      </c>
    </row>
    <row r="26" ht="17" customHeight="1" s="130">
      <c r="A26" s="5" t="inlineStr">
        <is>
          <t>October</t>
        </is>
      </c>
      <c r="B26" s="9" t="n">
        <v>1.05</v>
      </c>
    </row>
    <row r="27" ht="17" customHeight="1" s="130">
      <c r="A27" s="5" t="inlineStr">
        <is>
          <t>November</t>
        </is>
      </c>
      <c r="B27" s="9" t="n">
        <v>1.1</v>
      </c>
      <c r="C27" s="4" t="inlineStr">
        <is>
          <t>White Friday / pre-holiday</t>
        </is>
      </c>
    </row>
    <row r="28" ht="17" customHeight="1" s="130">
      <c r="A28" s="5" t="inlineStr">
        <is>
          <t>December</t>
        </is>
      </c>
      <c r="B28" s="9" t="n">
        <v>1.15</v>
      </c>
      <c r="C28" s="4" t="inlineStr">
        <is>
          <t>Holiday season + NYE</t>
        </is>
      </c>
    </row>
    <row r="29" ht="17" customHeight="1" s="130">
      <c r="A29" s="10" t="inlineStr">
        <is>
          <t>Sum check (should ≈ 12)</t>
        </is>
      </c>
      <c r="B29" s="11">
        <f>SUM(B17:B28)</f>
        <v/>
      </c>
    </row>
    <row r="30" ht="8" customHeight="1" s="130"/>
    <row r="31" ht="18" customHeight="1" s="130">
      <c r="A31" s="136" t="inlineStr">
        <is>
          <t>D. BASE MONTHLY UNITS  (per outlet, per category — before seasonality)</t>
        </is>
      </c>
    </row>
    <row r="32" ht="16" customHeight="1" s="130">
      <c r="A32" s="8" t="inlineStr">
        <is>
          <t>Category</t>
        </is>
      </c>
      <c r="B32" s="8" t="inlineStr">
        <is>
          <t>Dubai Mall</t>
        </is>
      </c>
      <c r="C32" s="8" t="inlineStr">
        <is>
          <t>Marina Mall</t>
        </is>
      </c>
      <c r="D32" s="8" t="inlineStr">
        <is>
          <t>Online</t>
        </is>
      </c>
    </row>
    <row r="33" ht="17" customHeight="1" s="130">
      <c r="A33" s="5" t="inlineStr">
        <is>
          <t>Women's Wear</t>
        </is>
      </c>
      <c r="B33" s="12" t="n">
        <v>800</v>
      </c>
      <c r="C33" s="12" t="n">
        <v>600</v>
      </c>
      <c r="D33" s="12" t="n">
        <v>1200</v>
      </c>
    </row>
    <row r="34" ht="17" customHeight="1" s="130">
      <c r="A34" s="5" t="inlineStr">
        <is>
          <t>Men's Wear</t>
        </is>
      </c>
      <c r="B34" s="12" t="n">
        <v>500</v>
      </c>
      <c r="C34" s="12" t="n">
        <v>380</v>
      </c>
      <c r="D34" s="12" t="n">
        <v>700</v>
      </c>
    </row>
    <row r="35" ht="17" customHeight="1" s="130">
      <c r="A35" s="5" t="inlineStr">
        <is>
          <t>Kids' Wear</t>
        </is>
      </c>
      <c r="B35" s="12" t="n">
        <v>300</v>
      </c>
      <c r="C35" s="12" t="n">
        <v>250</v>
      </c>
      <c r="D35" s="12" t="n">
        <v>500</v>
      </c>
    </row>
    <row r="36" ht="17" customHeight="1" s="130">
      <c r="A36" s="5" t="inlineStr">
        <is>
          <t>Accessories</t>
        </is>
      </c>
      <c r="B36" s="12" t="n">
        <v>600</v>
      </c>
      <c r="C36" s="12" t="n">
        <v>450</v>
      </c>
      <c r="D36" s="12" t="n">
        <v>900</v>
      </c>
    </row>
    <row r="37" ht="8" customHeight="1" s="130"/>
    <row r="38" ht="18" customHeight="1" s="130">
      <c r="A38" s="136" t="inlineStr">
        <is>
          <t>E. AVERAGE SELLING PRICE (AED)</t>
        </is>
      </c>
    </row>
    <row r="39" ht="16" customHeight="1" s="130">
      <c r="A39" s="8" t="inlineStr">
        <is>
          <t>Category</t>
        </is>
      </c>
      <c r="B39" s="8" t="inlineStr">
        <is>
          <t>ASP (AED)</t>
        </is>
      </c>
      <c r="C39" s="8" t="inlineStr">
        <is>
          <t>Note</t>
        </is>
      </c>
    </row>
    <row r="40" ht="17" customHeight="1" s="130">
      <c r="A40" s="5" t="inlineStr">
        <is>
          <t>Women's Wear</t>
        </is>
      </c>
      <c r="B40" s="12" t="n">
        <v>380</v>
      </c>
      <c r="C40" s="4" t="inlineStr">
        <is>
          <t>Premium positioning — Dubai Mall mix weighted</t>
        </is>
      </c>
    </row>
    <row r="41" ht="17" customHeight="1" s="130">
      <c r="A41" s="5" t="inlineStr">
        <is>
          <t>Men's Wear</t>
        </is>
      </c>
      <c r="B41" s="12" t="n">
        <v>300</v>
      </c>
    </row>
    <row r="42" ht="17" customHeight="1" s="130">
      <c r="A42" s="5" t="inlineStr">
        <is>
          <t>Kids' Wear</t>
        </is>
      </c>
      <c r="B42" s="12" t="n">
        <v>160</v>
      </c>
    </row>
    <row r="43" ht="17" customHeight="1" s="130">
      <c r="A43" s="5" t="inlineStr">
        <is>
          <t>Accessories</t>
        </is>
      </c>
      <c r="B43" s="12" t="n">
        <v>130</v>
      </c>
      <c r="C43" s="4" t="inlineStr">
        <is>
          <t>Impulse-buy category — lower ASP, high volume</t>
        </is>
      </c>
    </row>
    <row r="44" ht="8" customHeight="1" s="130"/>
    <row r="45" ht="18" customHeight="1" s="130">
      <c r="A45" s="136" t="inlineStr">
        <is>
          <t>F. COGS % BY CATEGORY  (Week 4 — fill in when building COGS tab)</t>
        </is>
      </c>
    </row>
    <row r="46">
      <c r="A46" s="8" t="inlineStr">
        <is>
          <t>Category</t>
        </is>
      </c>
      <c r="B46" s="8" t="inlineStr">
        <is>
          <t>COGS %</t>
        </is>
      </c>
    </row>
    <row r="47" ht="17" customHeight="1" s="130">
      <c r="A47" s="5" t="inlineStr">
        <is>
          <t>Women's Wear</t>
        </is>
      </c>
      <c r="B47" s="22" t="n">
        <v>0.45</v>
      </c>
    </row>
    <row r="48" ht="17" customHeight="1" s="130">
      <c r="A48" s="5" t="inlineStr">
        <is>
          <t>Men's Wear</t>
        </is>
      </c>
      <c r="B48" s="22" t="n">
        <v>0.48</v>
      </c>
    </row>
    <row r="49" ht="17" customHeight="1" s="130">
      <c r="A49" s="5" t="inlineStr">
        <is>
          <t>Kids' Wear</t>
        </is>
      </c>
      <c r="B49" s="22" t="n">
        <v>0.5</v>
      </c>
    </row>
    <row r="50" ht="17" customHeight="1" s="130">
      <c r="A50" s="5" t="inlineStr">
        <is>
          <t>Accessories</t>
        </is>
      </c>
      <c r="B50" s="22" t="n">
        <v>0.35</v>
      </c>
    </row>
    <row r="51" ht="8" customHeight="1" s="130"/>
    <row r="52" ht="18" customHeight="1" s="130">
      <c r="A52" s="136" t="inlineStr">
        <is>
          <t>G. OPEX ASSUMPTIONS (Monthly AED)  (Week 4)</t>
        </is>
      </c>
    </row>
    <row r="53">
      <c r="A53" s="8" t="inlineStr">
        <is>
          <t>Item</t>
        </is>
      </c>
      <c r="B53" s="8" t="inlineStr">
        <is>
          <t>Dubai Mall</t>
        </is>
      </c>
      <c r="C53" s="8" t="inlineStr">
        <is>
          <t>Marina Mall</t>
        </is>
      </c>
      <c r="D53" s="8" t="inlineStr">
        <is>
          <t>Online</t>
        </is>
      </c>
    </row>
    <row r="54" ht="17" customHeight="1" s="130">
      <c r="A54" s="5" t="inlineStr">
        <is>
          <t>Rent (AED/month)</t>
        </is>
      </c>
      <c r="B54" s="36" t="n">
        <v>180000</v>
      </c>
      <c r="C54" s="36" t="n">
        <v>120000</v>
      </c>
      <c r="D54" s="36" t="n">
        <v>15000</v>
      </c>
    </row>
    <row r="55" ht="17" customHeight="1" s="130">
      <c r="A55" s="5" t="inlineStr">
        <is>
          <t>Base Payroll (AED/month)</t>
        </is>
      </c>
      <c r="B55" s="36" t="n">
        <v>150000</v>
      </c>
      <c r="C55" s="36" t="n">
        <v>100000</v>
      </c>
      <c r="D55" s="36" t="n">
        <v>45000</v>
      </c>
    </row>
    <row r="56" ht="17" customHeight="1" s="130">
      <c r="A56" s="5" t="inlineStr">
        <is>
          <t>Marketing % of Revenue</t>
        </is>
      </c>
      <c r="B56" s="37" t="n">
        <v>0.03</v>
      </c>
      <c r="C56" s="37" t="n">
        <v>0.03</v>
      </c>
      <c r="D56" s="37" t="n">
        <v>0.02</v>
      </c>
    </row>
  </sheetData>
  <mergeCells count="10">
    <mergeCell ref="A38:E38"/>
    <mergeCell ref="A2:E2"/>
    <mergeCell ref="A15:E15"/>
    <mergeCell ref="A52:E52"/>
    <mergeCell ref="A1:E1"/>
    <mergeCell ref="A5:E5"/>
    <mergeCell ref="A45:E45"/>
    <mergeCell ref="A31:E31"/>
    <mergeCell ref="B7:D7"/>
    <mergeCell ref="A9:E9"/>
  </mergeCells>
  <pageMargins left="0.75" right="0.75" top="1" bottom="1" header="0.5" footer="0.5"/>
</worksheet>
</file>

<file path=xl/worksheets/sheet2.xml><?xml version="1.0" encoding="utf-8"?>
<worksheet xmlns="http://schemas.openxmlformats.org/spreadsheetml/2006/main">
  <sheetPr>
    <tabColor rgb="FF70AD47"/>
    <outlinePr summaryBelow="1" summaryRight="1"/>
    <pageSetUpPr/>
  </sheetPr>
  <dimension ref="A1:O39"/>
  <sheetViews>
    <sheetView workbookViewId="0">
      <pane xSplit="2" ySplit="4" topLeftCell="C12" activePane="bottomRight" state="frozen"/>
      <selection pane="topRight" activeCell="A1" sqref="A1"/>
      <selection pane="bottomLeft" activeCell="A1" sqref="A1"/>
      <selection pane="bottomRight" activeCell="N39" sqref="N39"/>
    </sheetView>
  </sheetViews>
  <sheetFormatPr baseColWidth="10" defaultColWidth="8.83203125" defaultRowHeight="15"/>
  <cols>
    <col width="20" customWidth="1" style="130" min="1" max="1"/>
    <col width="14" customWidth="1" style="130" min="2" max="2"/>
    <col width="12" customWidth="1" style="130" min="3" max="15"/>
  </cols>
  <sheetData>
    <row r="1" ht="24" customHeight="1" s="130">
      <c r="A1" s="141" t="inlineStr">
        <is>
          <t>ZARA &amp; CO. — REVENUE BUILD FY2025</t>
        </is>
      </c>
    </row>
    <row r="2" ht="14" customHeight="1" s="130">
      <c r="A2" s="137" t="inlineStr">
        <is>
          <t>Formulas only — all inputs linked from Assumptions tab. Nothing hardcoded here.</t>
        </is>
      </c>
    </row>
    <row r="3" ht="8" customHeight="1" s="130"/>
    <row r="4" ht="16" customHeight="1" s="130">
      <c r="A4" s="10" t="inlineStr">
        <is>
          <t>Outlet / Category</t>
        </is>
      </c>
      <c r="B4" s="8" t="inlineStr">
        <is>
          <t>Metric</t>
        </is>
      </c>
      <c r="C4" s="8" t="inlineStr">
        <is>
          <t>Jan</t>
        </is>
      </c>
      <c r="D4" s="8" t="inlineStr">
        <is>
          <t>Feb</t>
        </is>
      </c>
      <c r="E4" s="8" t="inlineStr">
        <is>
          <t>Mar</t>
        </is>
      </c>
      <c r="F4" s="8" t="inlineStr">
        <is>
          <t>Apr</t>
        </is>
      </c>
      <c r="G4" s="8" t="inlineStr">
        <is>
          <t>May</t>
        </is>
      </c>
      <c r="H4" s="8" t="inlineStr">
        <is>
          <t>Jun</t>
        </is>
      </c>
      <c r="I4" s="8" t="inlineStr">
        <is>
          <t>Jul</t>
        </is>
      </c>
      <c r="J4" s="8" t="inlineStr">
        <is>
          <t>Aug</t>
        </is>
      </c>
      <c r="K4" s="8" t="inlineStr">
        <is>
          <t>Sep</t>
        </is>
      </c>
      <c r="L4" s="8" t="inlineStr">
        <is>
          <t>Oct</t>
        </is>
      </c>
      <c r="M4" s="8" t="inlineStr">
        <is>
          <t>Nov</t>
        </is>
      </c>
      <c r="N4" s="8" t="inlineStr">
        <is>
          <t>Dec</t>
        </is>
      </c>
      <c r="O4" s="8" t="inlineStr">
        <is>
          <t>TOTAL</t>
        </is>
      </c>
    </row>
    <row r="5" ht="16" customHeight="1" s="130">
      <c r="A5" s="10" t="inlineStr">
        <is>
          <t>Seasonality</t>
        </is>
      </c>
      <c r="B5" s="8" t="n"/>
      <c r="C5" s="21">
        <f t="array" ref="C5">INDEX(Assumptions!$B$17:$B$28,COLUMN()-2)</f>
        <v/>
      </c>
      <c r="D5" s="21">
        <f t="array" ref="D5">INDEX(Assumptions!$B$17:$B$28,COLUMN()-2)</f>
        <v/>
      </c>
      <c r="E5" s="21">
        <f t="array" ref="E5">INDEX(Assumptions!$B$17:$B$28,COLUMN()-2)</f>
        <v/>
      </c>
      <c r="F5" s="21">
        <f t="array" ref="F5">INDEX(Assumptions!$B$17:$B$28,COLUMN()-2)</f>
        <v/>
      </c>
      <c r="G5" s="21">
        <f t="array" ref="G5">INDEX(Assumptions!$B$17:$B$28,COLUMN()-2)</f>
        <v/>
      </c>
      <c r="H5" s="21">
        <f t="array" ref="H5">INDEX(Assumptions!$B$17:$B$28,COLUMN()-2)</f>
        <v/>
      </c>
      <c r="I5" s="21">
        <f t="array" ref="I5">INDEX(Assumptions!$B$17:$B$28,COLUMN()-2)</f>
        <v/>
      </c>
      <c r="J5" s="21">
        <f t="array" ref="J5">INDEX(Assumptions!$B$17:$B$28,COLUMN()-2)</f>
        <v/>
      </c>
      <c r="K5" s="21">
        <f t="array" ref="K5">INDEX(Assumptions!$B$17:$B$28,COLUMN()-2)</f>
        <v/>
      </c>
      <c r="L5" s="21">
        <f t="array" ref="L5">INDEX(Assumptions!$B$17:$B$28,COLUMN()-2)</f>
        <v/>
      </c>
      <c r="M5" s="21">
        <f t="array" ref="M5">INDEX(Assumptions!$B$17:$B$28,COLUMN()-2)</f>
        <v/>
      </c>
      <c r="N5" s="21">
        <f t="array" ref="N5">INDEX(Assumptions!$B$17:$B$28,COLUMN()-2)</f>
        <v/>
      </c>
      <c r="O5" s="21">
        <f>SUM(C5:N5)</f>
        <v/>
      </c>
    </row>
    <row r="6" ht="16" customHeight="1" s="130">
      <c r="A6" s="140" t="inlineStr">
        <is>
          <t>Dubai Mall</t>
        </is>
      </c>
    </row>
    <row r="7" ht="16" customHeight="1" s="130">
      <c r="A7" s="5" t="inlineStr">
        <is>
          <t>Women's Wear</t>
        </is>
      </c>
      <c r="B7" s="13" t="inlineStr">
        <is>
          <t>Units</t>
        </is>
      </c>
      <c r="C7" s="14">
        <f>Assumptions!$B$33*'Revenue Build'!C$5</f>
        <v/>
      </c>
      <c r="D7" s="14">
        <f>Assumptions!$B$33*'Revenue Build'!D5</f>
        <v/>
      </c>
      <c r="E7" s="14">
        <f>Assumptions!$B$33*'Revenue Build'!E5</f>
        <v/>
      </c>
      <c r="F7" s="14">
        <f>Assumptions!$B$33*'Revenue Build'!F5</f>
        <v/>
      </c>
      <c r="G7" s="14">
        <f>Assumptions!$B$33*'Revenue Build'!G5</f>
        <v/>
      </c>
      <c r="H7" s="14">
        <f>Assumptions!$B$33*'Revenue Build'!H5</f>
        <v/>
      </c>
      <c r="I7" s="14">
        <f>Assumptions!$B$33*'Revenue Build'!I5</f>
        <v/>
      </c>
      <c r="J7" s="14">
        <f>Assumptions!$B$33*'Revenue Build'!J5</f>
        <v/>
      </c>
      <c r="K7" s="14">
        <f>Assumptions!$B$33*'Revenue Build'!K5</f>
        <v/>
      </c>
      <c r="L7" s="14">
        <f>Assumptions!$B$33*'Revenue Build'!L5</f>
        <v/>
      </c>
      <c r="M7" s="14">
        <f>Assumptions!$B$33*'Revenue Build'!M5</f>
        <v/>
      </c>
      <c r="N7" s="14">
        <f>Assumptions!$B$33*'Revenue Build'!N5</f>
        <v/>
      </c>
      <c r="O7" s="14">
        <f>SUM(C7:N7)</f>
        <v/>
      </c>
    </row>
    <row r="8" ht="16" customHeight="1" s="130">
      <c r="A8" s="5" t="n"/>
      <c r="B8" s="13" t="inlineStr">
        <is>
          <t>Revenue (AED)</t>
        </is>
      </c>
      <c r="C8" s="14">
        <f>Assumptions!$B$40*'Revenue Build'!C7</f>
        <v/>
      </c>
      <c r="D8" s="14">
        <f>Assumptions!$B$40*'Revenue Build'!D7</f>
        <v/>
      </c>
      <c r="E8" s="14">
        <f>Assumptions!$B$40*'Revenue Build'!E7</f>
        <v/>
      </c>
      <c r="F8" s="14">
        <f>Assumptions!$B$40*'Revenue Build'!F7</f>
        <v/>
      </c>
      <c r="G8" s="14">
        <f>Assumptions!$B$40*'Revenue Build'!G7</f>
        <v/>
      </c>
      <c r="H8" s="14">
        <f>Assumptions!$B$40*'Revenue Build'!H7</f>
        <v/>
      </c>
      <c r="I8" s="14">
        <f>Assumptions!$B$40*'Revenue Build'!I7</f>
        <v/>
      </c>
      <c r="J8" s="14">
        <f>Assumptions!$B$40*'Revenue Build'!J7</f>
        <v/>
      </c>
      <c r="K8" s="14">
        <f>Assumptions!$B$40*'Revenue Build'!K7</f>
        <v/>
      </c>
      <c r="L8" s="14">
        <f>Assumptions!$B$40*'Revenue Build'!L7</f>
        <v/>
      </c>
      <c r="M8" s="14">
        <f>Assumptions!$B$40*'Revenue Build'!M7</f>
        <v/>
      </c>
      <c r="N8" s="14">
        <f>Assumptions!$B$40*'Revenue Build'!N7</f>
        <v/>
      </c>
      <c r="O8" s="14">
        <f>SUM(C8:N8)</f>
        <v/>
      </c>
    </row>
    <row r="9" ht="16" customHeight="1" s="130">
      <c r="A9" s="5" t="inlineStr">
        <is>
          <t>Men's Wear</t>
        </is>
      </c>
      <c r="B9" s="13" t="inlineStr">
        <is>
          <t>Units</t>
        </is>
      </c>
      <c r="C9" s="14">
        <f>Assumptions!$B$34*'Revenue Build'!C$5</f>
        <v/>
      </c>
      <c r="D9" s="14">
        <f>Assumptions!$B$34*'Revenue Build'!D$5</f>
        <v/>
      </c>
      <c r="E9" s="14">
        <f>Assumptions!$B$34*'Revenue Build'!E$5</f>
        <v/>
      </c>
      <c r="F9" s="14">
        <f>Assumptions!$B$34*'Revenue Build'!F$5</f>
        <v/>
      </c>
      <c r="G9" s="14">
        <f>Assumptions!$B$34*'Revenue Build'!G$5</f>
        <v/>
      </c>
      <c r="H9" s="14">
        <f>Assumptions!$B$34*'Revenue Build'!H$5</f>
        <v/>
      </c>
      <c r="I9" s="14">
        <f>Assumptions!$B$34*'Revenue Build'!I$5</f>
        <v/>
      </c>
      <c r="J9" s="14">
        <f>Assumptions!$B$34*'Revenue Build'!J$5</f>
        <v/>
      </c>
      <c r="K9" s="14">
        <f>Assumptions!$B$34*'Revenue Build'!K$5</f>
        <v/>
      </c>
      <c r="L9" s="14">
        <f>Assumptions!$B$34*'Revenue Build'!L$5</f>
        <v/>
      </c>
      <c r="M9" s="14">
        <f>Assumptions!$B$34*'Revenue Build'!M$5</f>
        <v/>
      </c>
      <c r="N9" s="14">
        <f>Assumptions!$B$34*'Revenue Build'!N$5</f>
        <v/>
      </c>
      <c r="O9" s="14">
        <f>SUM(C9:N9)</f>
        <v/>
      </c>
    </row>
    <row r="10" ht="16" customHeight="1" s="130">
      <c r="A10" s="5" t="n"/>
      <c r="B10" s="13" t="inlineStr">
        <is>
          <t>Revenue (AED)</t>
        </is>
      </c>
      <c r="C10" s="14">
        <f>C9*Assumptions!$B$41</f>
        <v/>
      </c>
      <c r="D10" s="14">
        <f>D9*Assumptions!$B$41</f>
        <v/>
      </c>
      <c r="E10" s="14">
        <f>E9*Assumptions!$B$41</f>
        <v/>
      </c>
      <c r="F10" s="14">
        <f>F9*Assumptions!$B$41</f>
        <v/>
      </c>
      <c r="G10" s="14">
        <f>G9*Assumptions!$B$41</f>
        <v/>
      </c>
      <c r="H10" s="14">
        <f>H9*Assumptions!$B$41</f>
        <v/>
      </c>
      <c r="I10" s="14">
        <f>I9*Assumptions!$B$41</f>
        <v/>
      </c>
      <c r="J10" s="14">
        <f>J9*Assumptions!$B$41</f>
        <v/>
      </c>
      <c r="K10" s="14">
        <f>K9*Assumptions!$B$41</f>
        <v/>
      </c>
      <c r="L10" s="14">
        <f>L9*Assumptions!$B$41</f>
        <v/>
      </c>
      <c r="M10" s="14">
        <f>M9*Assumptions!$B$41</f>
        <v/>
      </c>
      <c r="N10" s="14">
        <f>N9*Assumptions!$B$41</f>
        <v/>
      </c>
      <c r="O10" s="14">
        <f>SUM(C10:N10)</f>
        <v/>
      </c>
    </row>
    <row r="11" ht="16" customHeight="1" s="130">
      <c r="A11" s="5" t="inlineStr">
        <is>
          <t>Kids' Wear</t>
        </is>
      </c>
      <c r="B11" s="13" t="inlineStr">
        <is>
          <t>Units</t>
        </is>
      </c>
      <c r="C11" s="14">
        <f>Assumptions!$B$35*'Revenue Build'!C$5</f>
        <v/>
      </c>
      <c r="D11" s="14">
        <f>Assumptions!$B$35*'Revenue Build'!D$5</f>
        <v/>
      </c>
      <c r="E11" s="14">
        <f>Assumptions!$B$35*'Revenue Build'!E$5</f>
        <v/>
      </c>
      <c r="F11" s="14">
        <f>Assumptions!$B$35*'Revenue Build'!F$5</f>
        <v/>
      </c>
      <c r="G11" s="14">
        <f>Assumptions!$B$35*'Revenue Build'!G$5</f>
        <v/>
      </c>
      <c r="H11" s="14">
        <f>Assumptions!$B$35*'Revenue Build'!H$5</f>
        <v/>
      </c>
      <c r="I11" s="14">
        <f>Assumptions!$B$35*'Revenue Build'!I$5</f>
        <v/>
      </c>
      <c r="J11" s="14">
        <f>Assumptions!$B$35*'Revenue Build'!J$5</f>
        <v/>
      </c>
      <c r="K11" s="14">
        <f>Assumptions!$B$35*'Revenue Build'!K$5</f>
        <v/>
      </c>
      <c r="L11" s="14">
        <f>Assumptions!$B$35*'Revenue Build'!L$5</f>
        <v/>
      </c>
      <c r="M11" s="14">
        <f>Assumptions!$B$35*'Revenue Build'!M$5</f>
        <v/>
      </c>
      <c r="N11" s="14">
        <f>Assumptions!$B$35*'Revenue Build'!N$5</f>
        <v/>
      </c>
      <c r="O11" s="14">
        <f>SUM(C11:N11)</f>
        <v/>
      </c>
    </row>
    <row r="12" ht="16" customHeight="1" s="130">
      <c r="A12" s="5" t="n"/>
      <c r="B12" s="13" t="inlineStr">
        <is>
          <t>Revenue (AED)</t>
        </is>
      </c>
      <c r="C12" s="14">
        <f>C11*Assumptions!$B$42</f>
        <v/>
      </c>
      <c r="D12" s="14">
        <f>D11*Assumptions!$B$42</f>
        <v/>
      </c>
      <c r="E12" s="14">
        <f>E11*Assumptions!$B$42</f>
        <v/>
      </c>
      <c r="F12" s="14">
        <f>F11*Assumptions!$B$42</f>
        <v/>
      </c>
      <c r="G12" s="14">
        <f>G11*Assumptions!$B$42</f>
        <v/>
      </c>
      <c r="H12" s="14">
        <f>H11*Assumptions!$B$42</f>
        <v/>
      </c>
      <c r="I12" s="14">
        <f>I11*Assumptions!$B$42</f>
        <v/>
      </c>
      <c r="J12" s="14">
        <f>J11*Assumptions!$B$42</f>
        <v/>
      </c>
      <c r="K12" s="14">
        <f>K11*Assumptions!$B$42</f>
        <v/>
      </c>
      <c r="L12" s="14">
        <f>L11*Assumptions!$B$42</f>
        <v/>
      </c>
      <c r="M12" s="14">
        <f>M11*Assumptions!$B$42</f>
        <v/>
      </c>
      <c r="N12" s="14">
        <f>N11*Assumptions!$B$42</f>
        <v/>
      </c>
      <c r="O12" s="14">
        <f>SUM(C12:N12)</f>
        <v/>
      </c>
    </row>
    <row r="13" ht="16" customHeight="1" s="130">
      <c r="A13" s="5" t="inlineStr">
        <is>
          <t>Accessories</t>
        </is>
      </c>
      <c r="B13" s="13" t="inlineStr">
        <is>
          <t>Units</t>
        </is>
      </c>
      <c r="C13" s="14">
        <f>Assumptions!$B$36*'Revenue Build'!C$5</f>
        <v/>
      </c>
      <c r="D13" s="14">
        <f>Assumptions!$B$36*'Revenue Build'!D$5</f>
        <v/>
      </c>
      <c r="E13" s="14">
        <f>Assumptions!$B$36*'Revenue Build'!E$5</f>
        <v/>
      </c>
      <c r="F13" s="14">
        <f>Assumptions!$B$36*'Revenue Build'!F$5</f>
        <v/>
      </c>
      <c r="G13" s="14">
        <f>Assumptions!$B$36*'Revenue Build'!G$5</f>
        <v/>
      </c>
      <c r="H13" s="14">
        <f>Assumptions!$B$36*'Revenue Build'!H$5</f>
        <v/>
      </c>
      <c r="I13" s="14">
        <f>Assumptions!$B$36*'Revenue Build'!I$5</f>
        <v/>
      </c>
      <c r="J13" s="14">
        <f>Assumptions!$B$36*'Revenue Build'!J$5</f>
        <v/>
      </c>
      <c r="K13" s="14">
        <f>Assumptions!$B$36*'Revenue Build'!K$5</f>
        <v/>
      </c>
      <c r="L13" s="14">
        <f>Assumptions!$B$36*'Revenue Build'!L$5</f>
        <v/>
      </c>
      <c r="M13" s="14">
        <f>Assumptions!$B$36*'Revenue Build'!M$5</f>
        <v/>
      </c>
      <c r="N13" s="14">
        <f>Assumptions!$B$36*'Revenue Build'!N$5</f>
        <v/>
      </c>
      <c r="O13" s="14">
        <f>SUM(C13:N13)</f>
        <v/>
      </c>
    </row>
    <row r="14" ht="16" customHeight="1" s="130">
      <c r="A14" s="5" t="n"/>
      <c r="B14" s="13" t="inlineStr">
        <is>
          <t>Revenue (AED)</t>
        </is>
      </c>
      <c r="C14" s="14">
        <f>C13*Assumptions!$B$43</f>
        <v/>
      </c>
      <c r="D14" s="14">
        <f>D13*Assumptions!$B$43</f>
        <v/>
      </c>
      <c r="E14" s="14">
        <f>E13*Assumptions!$B$43</f>
        <v/>
      </c>
      <c r="F14" s="14">
        <f>F13*Assumptions!$B$43</f>
        <v/>
      </c>
      <c r="G14" s="14">
        <f>G13*Assumptions!$B$43</f>
        <v/>
      </c>
      <c r="H14" s="14">
        <f>H13*Assumptions!$B$43</f>
        <v/>
      </c>
      <c r="I14" s="14">
        <f>I13*Assumptions!$B$43</f>
        <v/>
      </c>
      <c r="J14" s="14">
        <f>J13*Assumptions!$B$43</f>
        <v/>
      </c>
      <c r="K14" s="14">
        <f>K13*Assumptions!$B$43</f>
        <v/>
      </c>
      <c r="L14" s="14">
        <f>L13*Assumptions!$B$43</f>
        <v/>
      </c>
      <c r="M14" s="14">
        <f>M13*Assumptions!$B$43</f>
        <v/>
      </c>
      <c r="N14" s="14">
        <f>N13*Assumptions!$B$43</f>
        <v/>
      </c>
      <c r="O14" s="14">
        <f>SUM(C14:N14)</f>
        <v/>
      </c>
    </row>
    <row r="15" ht="16" customHeight="1" s="130">
      <c r="A15" s="15" t="inlineStr">
        <is>
          <t>Dubai Mall — Total Revenue</t>
        </is>
      </c>
      <c r="B15" s="16" t="inlineStr">
        <is>
          <t>AED</t>
        </is>
      </c>
      <c r="C15" s="17">
        <f>C8+C10+C12+C14</f>
        <v/>
      </c>
      <c r="D15" s="17">
        <f>D8+D10+D12+D14</f>
        <v/>
      </c>
      <c r="E15" s="17">
        <f>E8+E10+E12+E14</f>
        <v/>
      </c>
      <c r="F15" s="17">
        <f>F8+F10+F12+F14</f>
        <v/>
      </c>
      <c r="G15" s="17">
        <f>G8+G10+G12+G14</f>
        <v/>
      </c>
      <c r="H15" s="17">
        <f>H8+H10+H12+H14</f>
        <v/>
      </c>
      <c r="I15" s="17">
        <f>I8+I10+I12+I14</f>
        <v/>
      </c>
      <c r="J15" s="17">
        <f>J8+J10+J12+J14</f>
        <v/>
      </c>
      <c r="K15" s="17">
        <f>K8+K10+K12+K14</f>
        <v/>
      </c>
      <c r="L15" s="17">
        <f>L8+L10+L12+L14</f>
        <v/>
      </c>
      <c r="M15" s="17">
        <f>M8+M10+M12+M14</f>
        <v/>
      </c>
      <c r="N15" s="17">
        <f>N8+N10+N12+N14</f>
        <v/>
      </c>
      <c r="O15" s="17">
        <f>O8+O10+O12+O14</f>
        <v/>
      </c>
    </row>
    <row r="17" ht="16" customHeight="1" s="130">
      <c r="A17" s="140" t="inlineStr">
        <is>
          <t>Marina Mall</t>
        </is>
      </c>
    </row>
    <row r="18" ht="16" customHeight="1" s="130">
      <c r="A18" s="5" t="inlineStr">
        <is>
          <t>Women's Wear</t>
        </is>
      </c>
      <c r="B18" s="13" t="inlineStr">
        <is>
          <t>Units</t>
        </is>
      </c>
      <c r="C18" s="14">
        <f>Assumptions!$C$33*'Revenue Build'!C$5</f>
        <v/>
      </c>
      <c r="D18" s="14">
        <f>Assumptions!$C$33*'Revenue Build'!D$5</f>
        <v/>
      </c>
      <c r="E18" s="14">
        <f>Assumptions!$C$33*'Revenue Build'!E$5</f>
        <v/>
      </c>
      <c r="F18" s="14">
        <f>Assumptions!$C$33*'Revenue Build'!F$5</f>
        <v/>
      </c>
      <c r="G18" s="14">
        <f>Assumptions!$C$33*'Revenue Build'!G$5</f>
        <v/>
      </c>
      <c r="H18" s="14">
        <f>Assumptions!$C$33*'Revenue Build'!H$5</f>
        <v/>
      </c>
      <c r="I18" s="14">
        <f>Assumptions!$C$33*'Revenue Build'!I$5</f>
        <v/>
      </c>
      <c r="J18" s="14">
        <f>Assumptions!$C$33*'Revenue Build'!J$5</f>
        <v/>
      </c>
      <c r="K18" s="14">
        <f>Assumptions!$C$33*'Revenue Build'!K$5</f>
        <v/>
      </c>
      <c r="L18" s="14">
        <f>Assumptions!$C$33*'Revenue Build'!L$5</f>
        <v/>
      </c>
      <c r="M18" s="14">
        <f>Assumptions!$C$33*'Revenue Build'!M$5</f>
        <v/>
      </c>
      <c r="N18" s="14">
        <f>Assumptions!$C$33*'Revenue Build'!N$5</f>
        <v/>
      </c>
      <c r="O18" s="14">
        <f>SUM(C18:N18)</f>
        <v/>
      </c>
    </row>
    <row r="19" ht="16" customHeight="1" s="130">
      <c r="A19" s="5" t="n"/>
      <c r="B19" s="13" t="inlineStr">
        <is>
          <t>Revenue (AED)</t>
        </is>
      </c>
      <c r="C19" s="14">
        <f>Assumptions!$B$40*'Revenue Build'!C18</f>
        <v/>
      </c>
      <c r="D19" s="14">
        <f>Assumptions!$B$40*'Revenue Build'!D18</f>
        <v/>
      </c>
      <c r="E19" s="14">
        <f>Assumptions!$B$40*'Revenue Build'!E18</f>
        <v/>
      </c>
      <c r="F19" s="14">
        <f>Assumptions!$B$40*'Revenue Build'!F18</f>
        <v/>
      </c>
      <c r="G19" s="14">
        <f>Assumptions!$B$40*'Revenue Build'!G18</f>
        <v/>
      </c>
      <c r="H19" s="14">
        <f>Assumptions!$B$40*'Revenue Build'!H18</f>
        <v/>
      </c>
      <c r="I19" s="14">
        <f>Assumptions!$B$40*'Revenue Build'!I18</f>
        <v/>
      </c>
      <c r="J19" s="14">
        <f>Assumptions!$B$40*'Revenue Build'!J18</f>
        <v/>
      </c>
      <c r="K19" s="14">
        <f>Assumptions!$B$40*'Revenue Build'!K18</f>
        <v/>
      </c>
      <c r="L19" s="14">
        <f>Assumptions!$B$40*'Revenue Build'!L18</f>
        <v/>
      </c>
      <c r="M19" s="14">
        <f>Assumptions!$B$40*'Revenue Build'!M18</f>
        <v/>
      </c>
      <c r="N19" s="14">
        <f>Assumptions!$B$40*'Revenue Build'!N18</f>
        <v/>
      </c>
      <c r="O19" s="14">
        <f>SUM(C19:N19)</f>
        <v/>
      </c>
    </row>
    <row r="20" ht="16" customHeight="1" s="130">
      <c r="A20" s="5" t="inlineStr">
        <is>
          <t>Men's Wear</t>
        </is>
      </c>
      <c r="B20" s="13" t="inlineStr">
        <is>
          <t>Units</t>
        </is>
      </c>
      <c r="C20" s="14">
        <f>Assumptions!$C$34*'Revenue Build'!C$5</f>
        <v/>
      </c>
      <c r="D20" s="14">
        <f>Assumptions!$C$34*'Revenue Build'!D$5</f>
        <v/>
      </c>
      <c r="E20" s="14">
        <f>Assumptions!$C$34*'Revenue Build'!E$5</f>
        <v/>
      </c>
      <c r="F20" s="14">
        <f>Assumptions!$C$34*'Revenue Build'!F$5</f>
        <v/>
      </c>
      <c r="G20" s="14">
        <f>Assumptions!$C$34*'Revenue Build'!G$5</f>
        <v/>
      </c>
      <c r="H20" s="14">
        <f>Assumptions!$C$34*'Revenue Build'!H$5</f>
        <v/>
      </c>
      <c r="I20" s="14">
        <f>Assumptions!$C$34*'Revenue Build'!I$5</f>
        <v/>
      </c>
      <c r="J20" s="14">
        <f>Assumptions!$C$34*'Revenue Build'!J$5</f>
        <v/>
      </c>
      <c r="K20" s="14">
        <f>Assumptions!$C$34*'Revenue Build'!K$5</f>
        <v/>
      </c>
      <c r="L20" s="14">
        <f>Assumptions!$C$34*'Revenue Build'!L$5</f>
        <v/>
      </c>
      <c r="M20" s="14">
        <f>Assumptions!$C$34*'Revenue Build'!M$5</f>
        <v/>
      </c>
      <c r="N20" s="14">
        <f>Assumptions!$C$34*'Revenue Build'!N$5</f>
        <v/>
      </c>
      <c r="O20" s="14">
        <f>SUM(C20:N20)</f>
        <v/>
      </c>
    </row>
    <row r="21" ht="16" customHeight="1" s="130">
      <c r="A21" s="5" t="n"/>
      <c r="B21" s="13" t="inlineStr">
        <is>
          <t>Revenue (AED)</t>
        </is>
      </c>
      <c r="C21" s="14">
        <f>C20*Assumptions!$B$41</f>
        <v/>
      </c>
      <c r="D21" s="14">
        <f>D20*Assumptions!$B$41</f>
        <v/>
      </c>
      <c r="E21" s="14">
        <f>E20*Assumptions!$B$41</f>
        <v/>
      </c>
      <c r="F21" s="14">
        <f>F20*Assumptions!$B$41</f>
        <v/>
      </c>
      <c r="G21" s="14">
        <f>G20*Assumptions!$B$41</f>
        <v/>
      </c>
      <c r="H21" s="14">
        <f>H20*Assumptions!$B$41</f>
        <v/>
      </c>
      <c r="I21" s="14">
        <f>I20*Assumptions!$B$41</f>
        <v/>
      </c>
      <c r="J21" s="14">
        <f>J20*Assumptions!$B$41</f>
        <v/>
      </c>
      <c r="K21" s="14">
        <f>K20*Assumptions!$B$41</f>
        <v/>
      </c>
      <c r="L21" s="14">
        <f>L20*Assumptions!$B$41</f>
        <v/>
      </c>
      <c r="M21" s="14">
        <f>M20*Assumptions!$B$41</f>
        <v/>
      </c>
      <c r="N21" s="14">
        <f>N20*Assumptions!$B$41</f>
        <v/>
      </c>
      <c r="O21" s="14">
        <f>SUM(C21:N21)</f>
        <v/>
      </c>
    </row>
    <row r="22" ht="16" customHeight="1" s="130">
      <c r="A22" s="5" t="inlineStr">
        <is>
          <t>Kids' Wear</t>
        </is>
      </c>
      <c r="B22" s="13" t="inlineStr">
        <is>
          <t>Units</t>
        </is>
      </c>
      <c r="C22" s="14">
        <f>Assumptions!$C$35*'Revenue Build'!C$5</f>
        <v/>
      </c>
      <c r="D22" s="14">
        <f>Assumptions!$C$35*'Revenue Build'!D$5</f>
        <v/>
      </c>
      <c r="E22" s="14">
        <f>Assumptions!$C$35*'Revenue Build'!E$5</f>
        <v/>
      </c>
      <c r="F22" s="14">
        <f>Assumptions!$C$35*'Revenue Build'!F$5</f>
        <v/>
      </c>
      <c r="G22" s="14">
        <f>Assumptions!$C$35*'Revenue Build'!G$5</f>
        <v/>
      </c>
      <c r="H22" s="14">
        <f>Assumptions!$C$35*'Revenue Build'!H$5</f>
        <v/>
      </c>
      <c r="I22" s="14">
        <f>Assumptions!$C$35*'Revenue Build'!I$5</f>
        <v/>
      </c>
      <c r="J22" s="14">
        <f>Assumptions!$C$35*'Revenue Build'!J$5</f>
        <v/>
      </c>
      <c r="K22" s="14">
        <f>Assumptions!$C$35*'Revenue Build'!K$5</f>
        <v/>
      </c>
      <c r="L22" s="14">
        <f>Assumptions!$C$35*'Revenue Build'!L$5</f>
        <v/>
      </c>
      <c r="M22" s="14">
        <f>Assumptions!$C$35*'Revenue Build'!M$5</f>
        <v/>
      </c>
      <c r="N22" s="14">
        <f>Assumptions!$C$35*'Revenue Build'!N$5</f>
        <v/>
      </c>
      <c r="O22" s="14">
        <f>SUM(C22:N22)</f>
        <v/>
      </c>
    </row>
    <row r="23" ht="16" customHeight="1" s="130">
      <c r="A23" s="5" t="n"/>
      <c r="B23" s="13" t="inlineStr">
        <is>
          <t>Revenue (AED)</t>
        </is>
      </c>
      <c r="C23" s="14">
        <f>C22*Assumptions!$B$42</f>
        <v/>
      </c>
      <c r="D23" s="14">
        <f>D22*Assumptions!$B$42</f>
        <v/>
      </c>
      <c r="E23" s="14">
        <f>E22*Assumptions!$B$42</f>
        <v/>
      </c>
      <c r="F23" s="14">
        <f>F22*Assumptions!$B$42</f>
        <v/>
      </c>
      <c r="G23" s="14">
        <f>G22*Assumptions!$B$42</f>
        <v/>
      </c>
      <c r="H23" s="14">
        <f>H22*Assumptions!$B$42</f>
        <v/>
      </c>
      <c r="I23" s="14">
        <f>I22*Assumptions!$B$42</f>
        <v/>
      </c>
      <c r="J23" s="14">
        <f>J22*Assumptions!$B$42</f>
        <v/>
      </c>
      <c r="K23" s="14">
        <f>K22*Assumptions!$B$42</f>
        <v/>
      </c>
      <c r="L23" s="14">
        <f>L22*Assumptions!$B$42</f>
        <v/>
      </c>
      <c r="M23" s="14">
        <f>M22*Assumptions!$B$42</f>
        <v/>
      </c>
      <c r="N23" s="14">
        <f>N22*Assumptions!$B$42</f>
        <v/>
      </c>
      <c r="O23" s="14">
        <f>SUM(C23:N23)</f>
        <v/>
      </c>
    </row>
    <row r="24" ht="16" customHeight="1" s="130">
      <c r="A24" s="5" t="inlineStr">
        <is>
          <t>Accessories</t>
        </is>
      </c>
      <c r="B24" s="13" t="inlineStr">
        <is>
          <t>Units</t>
        </is>
      </c>
      <c r="C24" s="14">
        <f>Assumptions!$C$36*'Revenue Build'!C$5</f>
        <v/>
      </c>
      <c r="D24" s="14">
        <f>Assumptions!$C$36*'Revenue Build'!D$5</f>
        <v/>
      </c>
      <c r="E24" s="14">
        <f>Assumptions!$C$36*'Revenue Build'!E$5</f>
        <v/>
      </c>
      <c r="F24" s="14">
        <f>Assumptions!$C$36*'Revenue Build'!F$5</f>
        <v/>
      </c>
      <c r="G24" s="14">
        <f>Assumptions!$C$36*'Revenue Build'!G$5</f>
        <v/>
      </c>
      <c r="H24" s="14">
        <f>Assumptions!$C$36*'Revenue Build'!H$5</f>
        <v/>
      </c>
      <c r="I24" s="14">
        <f>Assumptions!$C$36*'Revenue Build'!I$5</f>
        <v/>
      </c>
      <c r="J24" s="14">
        <f>Assumptions!$C$36*'Revenue Build'!J$5</f>
        <v/>
      </c>
      <c r="K24" s="14">
        <f>Assumptions!$C$36*'Revenue Build'!K$5</f>
        <v/>
      </c>
      <c r="L24" s="14">
        <f>Assumptions!$C$36*'Revenue Build'!L$5</f>
        <v/>
      </c>
      <c r="M24" s="14">
        <f>Assumptions!$C$36*'Revenue Build'!M$5</f>
        <v/>
      </c>
      <c r="N24" s="14">
        <f>Assumptions!$C$36*'Revenue Build'!N$5</f>
        <v/>
      </c>
      <c r="O24" s="14">
        <f>SUM(C24:N24)</f>
        <v/>
      </c>
    </row>
    <row r="25" ht="16" customHeight="1" s="130">
      <c r="A25" s="5" t="n"/>
      <c r="B25" s="13" t="inlineStr">
        <is>
          <t>Revenue (AED)</t>
        </is>
      </c>
      <c r="C25" s="14">
        <f>C24*Assumptions!$B$43</f>
        <v/>
      </c>
      <c r="D25" s="14">
        <f>D24*Assumptions!$B$43</f>
        <v/>
      </c>
      <c r="E25" s="14">
        <f>E24*Assumptions!$B$43</f>
        <v/>
      </c>
      <c r="F25" s="14">
        <f>F24*Assumptions!$B$43</f>
        <v/>
      </c>
      <c r="G25" s="14">
        <f>G24*Assumptions!$B$43</f>
        <v/>
      </c>
      <c r="H25" s="14">
        <f>H24*Assumptions!$B$43</f>
        <v/>
      </c>
      <c r="I25" s="14">
        <f>I24*Assumptions!$B$43</f>
        <v/>
      </c>
      <c r="J25" s="14">
        <f>J24*Assumptions!$B$43</f>
        <v/>
      </c>
      <c r="K25" s="14">
        <f>K24*Assumptions!$B$43</f>
        <v/>
      </c>
      <c r="L25" s="14">
        <f>L24*Assumptions!$B$43</f>
        <v/>
      </c>
      <c r="M25" s="14">
        <f>M24*Assumptions!$B$43</f>
        <v/>
      </c>
      <c r="N25" s="14">
        <f>N24*Assumptions!$B$43</f>
        <v/>
      </c>
      <c r="O25" s="14">
        <f>SUM(C25:N25)</f>
        <v/>
      </c>
    </row>
    <row r="26" ht="16" customHeight="1" s="130">
      <c r="A26" s="15" t="inlineStr">
        <is>
          <t>Marina Mall — Total Revenue</t>
        </is>
      </c>
      <c r="B26" s="16" t="inlineStr">
        <is>
          <t>AED</t>
        </is>
      </c>
      <c r="C26" s="17">
        <f>C19+C21+C23+C25</f>
        <v/>
      </c>
      <c r="D26" s="17">
        <f>D19+D21+D23+D25</f>
        <v/>
      </c>
      <c r="E26" s="17">
        <f>E19+E21+E23+E25</f>
        <v/>
      </c>
      <c r="F26" s="17">
        <f>F19+F21+F23+F25</f>
        <v/>
      </c>
      <c r="G26" s="17">
        <f>G19+G21+G23+G25</f>
        <v/>
      </c>
      <c r="H26" s="17">
        <f>H19+H21+H23+H25</f>
        <v/>
      </c>
      <c r="I26" s="17">
        <f>I19+I21+I23+I25</f>
        <v/>
      </c>
      <c r="J26" s="17">
        <f>J19+J21+J23+J25</f>
        <v/>
      </c>
      <c r="K26" s="17">
        <f>K19+K21+K23+K25</f>
        <v/>
      </c>
      <c r="L26" s="17">
        <f>L19+L21+L23+L25</f>
        <v/>
      </c>
      <c r="M26" s="17">
        <f>M19+M21+M23+M25</f>
        <v/>
      </c>
      <c r="N26" s="17">
        <f>N19+N21+N23+N25</f>
        <v/>
      </c>
      <c r="O26" s="17">
        <f>O19+O21+O23+O25</f>
        <v/>
      </c>
    </row>
    <row r="28" ht="16" customHeight="1" s="130">
      <c r="A28" s="140" t="inlineStr">
        <is>
          <t>Online</t>
        </is>
      </c>
    </row>
    <row r="29" ht="16" customHeight="1" s="130">
      <c r="A29" s="5" t="inlineStr">
        <is>
          <t>Women's Wear</t>
        </is>
      </c>
      <c r="B29" s="13" t="inlineStr">
        <is>
          <t>Units</t>
        </is>
      </c>
      <c r="C29" s="14">
        <f>Assumptions!$D$33*'Revenue Build'!C$5</f>
        <v/>
      </c>
      <c r="D29" s="14">
        <f>Assumptions!$D$33*'Revenue Build'!D$5</f>
        <v/>
      </c>
      <c r="E29" s="14">
        <f>Assumptions!$D$33*'Revenue Build'!E$5</f>
        <v/>
      </c>
      <c r="F29" s="14">
        <f>Assumptions!$D$33*'Revenue Build'!F$5</f>
        <v/>
      </c>
      <c r="G29" s="14">
        <f>Assumptions!$D$33*'Revenue Build'!G$5</f>
        <v/>
      </c>
      <c r="H29" s="14">
        <f>Assumptions!$D$33*'Revenue Build'!H$5</f>
        <v/>
      </c>
      <c r="I29" s="14">
        <f>Assumptions!$D$33*'Revenue Build'!I$5</f>
        <v/>
      </c>
      <c r="J29" s="14">
        <f>Assumptions!$D$33*'Revenue Build'!J$5</f>
        <v/>
      </c>
      <c r="K29" s="14">
        <f>Assumptions!$D$33*'Revenue Build'!K$5</f>
        <v/>
      </c>
      <c r="L29" s="14">
        <f>Assumptions!$D$33*'Revenue Build'!L$5</f>
        <v/>
      </c>
      <c r="M29" s="14">
        <f>Assumptions!$D$33*'Revenue Build'!M$5</f>
        <v/>
      </c>
      <c r="N29" s="14">
        <f>Assumptions!$D$33*'Revenue Build'!N$5</f>
        <v/>
      </c>
      <c r="O29" s="14">
        <f>SUM(C29:N29)</f>
        <v/>
      </c>
    </row>
    <row r="30" ht="16" customHeight="1" s="130">
      <c r="A30" s="5" t="n"/>
      <c r="B30" s="13" t="inlineStr">
        <is>
          <t>Revenue (AED)</t>
        </is>
      </c>
      <c r="C30" s="14">
        <f>Assumptions!$B$40*'Revenue Build'!C29</f>
        <v/>
      </c>
      <c r="D30" s="14">
        <f>Assumptions!$B$40*'Revenue Build'!D29</f>
        <v/>
      </c>
      <c r="E30" s="14">
        <f>Assumptions!$B$40*'Revenue Build'!E29</f>
        <v/>
      </c>
      <c r="F30" s="14">
        <f>Assumptions!$B$40*'Revenue Build'!F29</f>
        <v/>
      </c>
      <c r="G30" s="14">
        <f>Assumptions!$B$40*'Revenue Build'!G29</f>
        <v/>
      </c>
      <c r="H30" s="14">
        <f>Assumptions!$B$40*'Revenue Build'!H29</f>
        <v/>
      </c>
      <c r="I30" s="14">
        <f>Assumptions!$B$40*'Revenue Build'!I29</f>
        <v/>
      </c>
      <c r="J30" s="14">
        <f>Assumptions!$B$40*'Revenue Build'!J29</f>
        <v/>
      </c>
      <c r="K30" s="14">
        <f>Assumptions!$B$40*'Revenue Build'!K29</f>
        <v/>
      </c>
      <c r="L30" s="14">
        <f>Assumptions!$B$40*'Revenue Build'!L29</f>
        <v/>
      </c>
      <c r="M30" s="14">
        <f>Assumptions!$B$40*'Revenue Build'!M29</f>
        <v/>
      </c>
      <c r="N30" s="14">
        <f>Assumptions!$B$40*'Revenue Build'!N29</f>
        <v/>
      </c>
      <c r="O30" s="14">
        <f>SUM(C30:N30)</f>
        <v/>
      </c>
    </row>
    <row r="31" ht="16" customHeight="1" s="130">
      <c r="A31" s="5" t="inlineStr">
        <is>
          <t>Men's Wear</t>
        </is>
      </c>
      <c r="B31" s="13" t="inlineStr">
        <is>
          <t>Units</t>
        </is>
      </c>
      <c r="C31" s="14">
        <f>Assumptions!$D$34*'Revenue Build'!C$5</f>
        <v/>
      </c>
      <c r="D31" s="14">
        <f>Assumptions!$D$34*'Revenue Build'!D$5</f>
        <v/>
      </c>
      <c r="E31" s="14">
        <f>Assumptions!$D$34*'Revenue Build'!E$5</f>
        <v/>
      </c>
      <c r="F31" s="14">
        <f>Assumptions!$D$34*'Revenue Build'!F$5</f>
        <v/>
      </c>
      <c r="G31" s="14">
        <f>Assumptions!$D$34*'Revenue Build'!G$5</f>
        <v/>
      </c>
      <c r="H31" s="14">
        <f>Assumptions!$D$34*'Revenue Build'!H$5</f>
        <v/>
      </c>
      <c r="I31" s="14">
        <f>Assumptions!$D$34*'Revenue Build'!I$5</f>
        <v/>
      </c>
      <c r="J31" s="14">
        <f>Assumptions!$D$34*'Revenue Build'!J$5</f>
        <v/>
      </c>
      <c r="K31" s="14">
        <f>Assumptions!$D$34*'Revenue Build'!K$5</f>
        <v/>
      </c>
      <c r="L31" s="14">
        <f>Assumptions!$D$34*'Revenue Build'!L$5</f>
        <v/>
      </c>
      <c r="M31" s="14">
        <f>Assumptions!$D$34*'Revenue Build'!M$5</f>
        <v/>
      </c>
      <c r="N31" s="14">
        <f>Assumptions!$D$34*'Revenue Build'!N$5</f>
        <v/>
      </c>
      <c r="O31" s="14">
        <f>SUM(C31:N31)</f>
        <v/>
      </c>
    </row>
    <row r="32" ht="16" customHeight="1" s="130">
      <c r="A32" s="5" t="n"/>
      <c r="B32" s="13" t="inlineStr">
        <is>
          <t>Revenue (AED)</t>
        </is>
      </c>
      <c r="C32" s="14">
        <f>C31*Assumptions!$B$41</f>
        <v/>
      </c>
      <c r="D32" s="14">
        <f>D31*Assumptions!$B$41</f>
        <v/>
      </c>
      <c r="E32" s="14">
        <f>E31*Assumptions!$B$41</f>
        <v/>
      </c>
      <c r="F32" s="14">
        <f>F31*Assumptions!$B$41</f>
        <v/>
      </c>
      <c r="G32" s="14">
        <f>G31*Assumptions!$B$41</f>
        <v/>
      </c>
      <c r="H32" s="14">
        <f>H31*Assumptions!$B$41</f>
        <v/>
      </c>
      <c r="I32" s="14">
        <f>I31*Assumptions!$B$41</f>
        <v/>
      </c>
      <c r="J32" s="14">
        <f>J31*Assumptions!$B$41</f>
        <v/>
      </c>
      <c r="K32" s="14">
        <f>K31*Assumptions!$B$41</f>
        <v/>
      </c>
      <c r="L32" s="14">
        <f>L31*Assumptions!$B$41</f>
        <v/>
      </c>
      <c r="M32" s="14">
        <f>M31*Assumptions!$B$41</f>
        <v/>
      </c>
      <c r="N32" s="14">
        <f>N31*Assumptions!$B$41</f>
        <v/>
      </c>
      <c r="O32" s="14">
        <f>SUM(C32:N32)</f>
        <v/>
      </c>
    </row>
    <row r="33" ht="16" customHeight="1" s="130">
      <c r="A33" s="5" t="inlineStr">
        <is>
          <t>Kids' Wear</t>
        </is>
      </c>
      <c r="B33" s="13" t="inlineStr">
        <is>
          <t>Units</t>
        </is>
      </c>
      <c r="C33" s="14">
        <f>Assumptions!$D$35*'Revenue Build'!C$5</f>
        <v/>
      </c>
      <c r="D33" s="14">
        <f>Assumptions!$D$35*'Revenue Build'!D$5</f>
        <v/>
      </c>
      <c r="E33" s="14">
        <f>Assumptions!$D$35*'Revenue Build'!E$5</f>
        <v/>
      </c>
      <c r="F33" s="14">
        <f>Assumptions!$D$35*'Revenue Build'!F$5</f>
        <v/>
      </c>
      <c r="G33" s="14">
        <f>Assumptions!$D$35*'Revenue Build'!G$5</f>
        <v/>
      </c>
      <c r="H33" s="14">
        <f>Assumptions!$D$35*'Revenue Build'!H$5</f>
        <v/>
      </c>
      <c r="I33" s="14">
        <f>Assumptions!$D$35*'Revenue Build'!I$5</f>
        <v/>
      </c>
      <c r="J33" s="14">
        <f>Assumptions!$D$35*'Revenue Build'!J$5</f>
        <v/>
      </c>
      <c r="K33" s="14">
        <f>Assumptions!$D$35*'Revenue Build'!K$5</f>
        <v/>
      </c>
      <c r="L33" s="14">
        <f>Assumptions!$D$35*'Revenue Build'!L$5</f>
        <v/>
      </c>
      <c r="M33" s="14">
        <f>Assumptions!$D$35*'Revenue Build'!M$5</f>
        <v/>
      </c>
      <c r="N33" s="14">
        <f>Assumptions!$D$35*'Revenue Build'!N$5</f>
        <v/>
      </c>
      <c r="O33" s="14">
        <f>SUM(C33:N33)</f>
        <v/>
      </c>
    </row>
    <row r="34" ht="16" customHeight="1" s="130">
      <c r="A34" s="5" t="n"/>
      <c r="B34" s="13" t="inlineStr">
        <is>
          <t>Revenue (AED)</t>
        </is>
      </c>
      <c r="C34" s="14">
        <f>C33*Assumptions!$B$42</f>
        <v/>
      </c>
      <c r="D34" s="14">
        <f>D33*Assumptions!$B$42</f>
        <v/>
      </c>
      <c r="E34" s="14">
        <f>E33*Assumptions!$B$42</f>
        <v/>
      </c>
      <c r="F34" s="14">
        <f>F33*Assumptions!$B$42</f>
        <v/>
      </c>
      <c r="G34" s="14">
        <f>G33*Assumptions!$B$42</f>
        <v/>
      </c>
      <c r="H34" s="14">
        <f>H33*Assumptions!$B$42</f>
        <v/>
      </c>
      <c r="I34" s="14">
        <f>I33*Assumptions!$B$42</f>
        <v/>
      </c>
      <c r="J34" s="14">
        <f>J33*Assumptions!$B$42</f>
        <v/>
      </c>
      <c r="K34" s="14">
        <f>K33*Assumptions!$B$42</f>
        <v/>
      </c>
      <c r="L34" s="14">
        <f>L33*Assumptions!$B$42</f>
        <v/>
      </c>
      <c r="M34" s="14">
        <f>M33*Assumptions!$B$42</f>
        <v/>
      </c>
      <c r="N34" s="14">
        <f>N33*Assumptions!$B$42</f>
        <v/>
      </c>
      <c r="O34" s="14">
        <f>SUM(C34:N34)</f>
        <v/>
      </c>
    </row>
    <row r="35" ht="16" customHeight="1" s="130">
      <c r="A35" s="5" t="inlineStr">
        <is>
          <t>Accessories</t>
        </is>
      </c>
      <c r="B35" s="13" t="inlineStr">
        <is>
          <t>Units</t>
        </is>
      </c>
      <c r="C35" s="14">
        <f>Assumptions!$D$36*'Revenue Build'!C$5</f>
        <v/>
      </c>
      <c r="D35" s="14">
        <f>Assumptions!$D$36*'Revenue Build'!D$5</f>
        <v/>
      </c>
      <c r="E35" s="14">
        <f>Assumptions!$D$36*'Revenue Build'!E$5</f>
        <v/>
      </c>
      <c r="F35" s="14">
        <f>Assumptions!$D$36*'Revenue Build'!F$5</f>
        <v/>
      </c>
      <c r="G35" s="14">
        <f>Assumptions!$D$36*'Revenue Build'!G$5</f>
        <v/>
      </c>
      <c r="H35" s="14">
        <f>Assumptions!$D$36*'Revenue Build'!H$5</f>
        <v/>
      </c>
      <c r="I35" s="14">
        <f>Assumptions!$D$36*'Revenue Build'!I$5</f>
        <v/>
      </c>
      <c r="J35" s="14">
        <f>Assumptions!$D$36*'Revenue Build'!J$5</f>
        <v/>
      </c>
      <c r="K35" s="14">
        <f>Assumptions!$D$36*'Revenue Build'!K$5</f>
        <v/>
      </c>
      <c r="L35" s="14">
        <f>Assumptions!$D$36*'Revenue Build'!L$5</f>
        <v/>
      </c>
      <c r="M35" s="14">
        <f>Assumptions!$D$36*'Revenue Build'!M$5</f>
        <v/>
      </c>
      <c r="N35" s="14">
        <f>Assumptions!$D$36*'Revenue Build'!N$5</f>
        <v/>
      </c>
      <c r="O35" s="14">
        <f>SUM(C35:N35)</f>
        <v/>
      </c>
    </row>
    <row r="36" ht="16" customHeight="1" s="130">
      <c r="A36" s="5" t="n"/>
      <c r="B36" s="13" t="inlineStr">
        <is>
          <t>Revenue (AED)</t>
        </is>
      </c>
      <c r="C36" s="14">
        <f>C35*Assumptions!$B$43</f>
        <v/>
      </c>
      <c r="D36" s="14">
        <f>D35*Assumptions!$B$43</f>
        <v/>
      </c>
      <c r="E36" s="14">
        <f>E35*Assumptions!$B$43</f>
        <v/>
      </c>
      <c r="F36" s="14">
        <f>F35*Assumptions!$B$43</f>
        <v/>
      </c>
      <c r="G36" s="14">
        <f>G35*Assumptions!$B$43</f>
        <v/>
      </c>
      <c r="H36" s="14">
        <f>H35*Assumptions!$B$43</f>
        <v/>
      </c>
      <c r="I36" s="14">
        <f>I35*Assumptions!$B$43</f>
        <v/>
      </c>
      <c r="J36" s="14">
        <f>J35*Assumptions!$B$43</f>
        <v/>
      </c>
      <c r="K36" s="14">
        <f>K35*Assumptions!$B$43</f>
        <v/>
      </c>
      <c r="L36" s="14">
        <f>L35*Assumptions!$B$43</f>
        <v/>
      </c>
      <c r="M36" s="14">
        <f>M35*Assumptions!$B$43</f>
        <v/>
      </c>
      <c r="N36" s="14">
        <f>N35*Assumptions!$B$43</f>
        <v/>
      </c>
      <c r="O36" s="14">
        <f>SUM(C36:N36)</f>
        <v/>
      </c>
    </row>
    <row r="37" ht="16" customHeight="1" s="130">
      <c r="A37" s="15" t="inlineStr">
        <is>
          <t>Online — Total Revenue</t>
        </is>
      </c>
      <c r="B37" s="16" t="inlineStr">
        <is>
          <t>AED</t>
        </is>
      </c>
      <c r="C37" s="17">
        <f>C30+C32+C34+C36</f>
        <v/>
      </c>
      <c r="D37" s="17">
        <f>D30+D32+D34+D36</f>
        <v/>
      </c>
      <c r="E37" s="17">
        <f>E30+E32+E34+E36</f>
        <v/>
      </c>
      <c r="F37" s="17">
        <f>F30+F32+F34+F36</f>
        <v/>
      </c>
      <c r="G37" s="17">
        <f>G30+G32+G34+G36</f>
        <v/>
      </c>
      <c r="H37" s="17">
        <f>H30+H32+H34+H36</f>
        <v/>
      </c>
      <c r="I37" s="17">
        <f>I30+I32+I34+I36</f>
        <v/>
      </c>
      <c r="J37" s="17">
        <f>J30+J32+J34+J36</f>
        <v/>
      </c>
      <c r="K37" s="17">
        <f>K30+K32+K34+K36</f>
        <v/>
      </c>
      <c r="L37" s="17">
        <f>L30+L32+L34+L36</f>
        <v/>
      </c>
      <c r="M37" s="17">
        <f>M30+M32+M34+M36</f>
        <v/>
      </c>
      <c r="N37" s="17">
        <f>N30+N32+N34+N36</f>
        <v/>
      </c>
      <c r="O37" s="17">
        <f>O30+O32+O34+O36</f>
        <v/>
      </c>
    </row>
    <row r="39" ht="18" customHeight="1" s="130">
      <c r="A39" s="18" t="inlineStr">
        <is>
          <t>TOTAL REVENUE — ALL OUTLETS</t>
        </is>
      </c>
      <c r="B39" s="19" t="inlineStr">
        <is>
          <t>AED</t>
        </is>
      </c>
      <c r="C39" s="20">
        <f>C15+C26+C37</f>
        <v/>
      </c>
      <c r="D39" s="20">
        <f>D15+D26+D37</f>
        <v/>
      </c>
      <c r="E39" s="20">
        <f>E15+E26+E37</f>
        <v/>
      </c>
      <c r="F39" s="20">
        <f>F15+F26+F37</f>
        <v/>
      </c>
      <c r="G39" s="20">
        <f>G15+G26+G37</f>
        <v/>
      </c>
      <c r="H39" s="20">
        <f>H15+H26+H37</f>
        <v/>
      </c>
      <c r="I39" s="20">
        <f>I15+I26+I37</f>
        <v/>
      </c>
      <c r="J39" s="20">
        <f>J15+J26+J37</f>
        <v/>
      </c>
      <c r="K39" s="20">
        <f>K15+K26+K37</f>
        <v/>
      </c>
      <c r="L39" s="20">
        <f>L15+L26+L37</f>
        <v/>
      </c>
      <c r="M39" s="20">
        <f>M15+M26+M37</f>
        <v/>
      </c>
      <c r="N39" s="20">
        <f>N15+N26+N37</f>
        <v/>
      </c>
      <c r="O39" s="20">
        <f>O15+O26+O37</f>
        <v/>
      </c>
    </row>
  </sheetData>
  <mergeCells count="5">
    <mergeCell ref="A2:O2"/>
    <mergeCell ref="A28:O28"/>
    <mergeCell ref="A1:O1"/>
    <mergeCell ref="A6:O6"/>
    <mergeCell ref="A17:O17"/>
  </mergeCells>
  <pageMargins left="0.75" right="0.75" top="1" bottom="1" header="0.5" footer="0.5"/>
</worksheet>
</file>

<file path=xl/worksheets/sheet3.xml><?xml version="1.0" encoding="utf-8"?>
<worksheet xmlns="http://schemas.openxmlformats.org/spreadsheetml/2006/main">
  <sheetPr>
    <tabColor rgb="FFFFC000"/>
    <outlinePr summaryBelow="1" summaryRight="1"/>
    <pageSetUpPr/>
  </sheetPr>
  <dimension ref="A1:O26"/>
  <sheetViews>
    <sheetView workbookViewId="0">
      <pane xSplit="2" ySplit="4" topLeftCell="C5" activePane="bottomRight" state="frozen"/>
      <selection pane="topRight" activeCell="A1" sqref="A1"/>
      <selection pane="bottomLeft" activeCell="A1" sqref="A1"/>
      <selection pane="bottomRight" activeCell="L20" sqref="L20"/>
    </sheetView>
  </sheetViews>
  <sheetFormatPr baseColWidth="10" defaultColWidth="8.83203125" defaultRowHeight="15"/>
  <cols>
    <col width="24" customWidth="1" style="130" min="1" max="1"/>
    <col width="10" customWidth="1" style="130" min="2" max="2"/>
    <col width="12" customWidth="1" style="130" min="3" max="15"/>
  </cols>
  <sheetData>
    <row r="1" ht="24" customHeight="1" s="130">
      <c r="A1" s="144" t="inlineStr">
        <is>
          <t>ZARA &amp; CO. — COGS BUILD FY2025</t>
        </is>
      </c>
    </row>
    <row r="2" ht="14" customHeight="1" s="130">
      <c r="A2" s="143" t="inlineStr">
        <is>
          <t>Formulas only — COGS% pulled from Assumptions, amounts = Revenue × COGS%.</t>
        </is>
      </c>
    </row>
    <row r="3" ht="8" customHeight="1" s="130"/>
    <row r="4" ht="16" customHeight="1" s="130">
      <c r="A4" s="23" t="inlineStr">
        <is>
          <t>Outlet / Category</t>
        </is>
      </c>
      <c r="B4" s="24" t="inlineStr">
        <is>
          <t>COGS %</t>
        </is>
      </c>
      <c r="C4" s="24" t="inlineStr">
        <is>
          <t>Jan</t>
        </is>
      </c>
      <c r="D4" s="24" t="inlineStr">
        <is>
          <t>Feb</t>
        </is>
      </c>
      <c r="E4" s="24" t="inlineStr">
        <is>
          <t>Mar</t>
        </is>
      </c>
      <c r="F4" s="24" t="inlineStr">
        <is>
          <t>Apr</t>
        </is>
      </c>
      <c r="G4" s="24" t="inlineStr">
        <is>
          <t>May</t>
        </is>
      </c>
      <c r="H4" s="24" t="inlineStr">
        <is>
          <t>Jun</t>
        </is>
      </c>
      <c r="I4" s="24" t="inlineStr">
        <is>
          <t>Jul</t>
        </is>
      </c>
      <c r="J4" s="24" t="inlineStr">
        <is>
          <t>Aug</t>
        </is>
      </c>
      <c r="K4" s="24" t="inlineStr">
        <is>
          <t>Sep</t>
        </is>
      </c>
      <c r="L4" s="24" t="inlineStr">
        <is>
          <t>Oct</t>
        </is>
      </c>
      <c r="M4" s="24" t="inlineStr">
        <is>
          <t>Nov</t>
        </is>
      </c>
      <c r="N4" s="24" t="inlineStr">
        <is>
          <t>Dec</t>
        </is>
      </c>
      <c r="O4" s="24" t="inlineStr">
        <is>
          <t>TOTAL</t>
        </is>
      </c>
    </row>
    <row r="5" ht="16" customHeight="1" s="130">
      <c r="A5" s="142" t="inlineStr">
        <is>
          <t>Dubai Mall</t>
        </is>
      </c>
    </row>
    <row r="6" ht="16" customHeight="1" s="130">
      <c r="A6" s="25" t="inlineStr">
        <is>
          <t>Women's Wear</t>
        </is>
      </c>
      <c r="B6" s="26">
        <f>Assumptions!$B$47</f>
        <v/>
      </c>
      <c r="C6" s="27">
        <f>'Revenue Build'!C8*$B6</f>
        <v/>
      </c>
      <c r="D6" s="27">
        <f>'Revenue Build'!D8*$B6</f>
        <v/>
      </c>
      <c r="E6" s="27">
        <f>'Revenue Build'!E8*$B6</f>
        <v/>
      </c>
      <c r="F6" s="27">
        <f>'Revenue Build'!F8*$B6</f>
        <v/>
      </c>
      <c r="G6" s="27">
        <f>'Revenue Build'!G8*$B6</f>
        <v/>
      </c>
      <c r="H6" s="27">
        <f>'Revenue Build'!H8*$B6</f>
        <v/>
      </c>
      <c r="I6" s="27">
        <f>'Revenue Build'!I8*$B6</f>
        <v/>
      </c>
      <c r="J6" s="27">
        <f>'Revenue Build'!J8*$B6</f>
        <v/>
      </c>
      <c r="K6" s="27">
        <f>'Revenue Build'!K8*$B6</f>
        <v/>
      </c>
      <c r="L6" s="27">
        <f>'Revenue Build'!L8*$B6</f>
        <v/>
      </c>
      <c r="M6" s="27">
        <f>'Revenue Build'!M8*$B6</f>
        <v/>
      </c>
      <c r="N6" s="27">
        <f>'Revenue Build'!N8*$B6</f>
        <v/>
      </c>
      <c r="O6" s="28">
        <f>SUM(C6:N6)</f>
        <v/>
      </c>
    </row>
    <row r="7" ht="16" customHeight="1" s="130">
      <c r="A7" s="25" t="inlineStr">
        <is>
          <t>Men's Wear</t>
        </is>
      </c>
      <c r="B7" s="26">
        <f>Assumptions!$B$48</f>
        <v/>
      </c>
      <c r="C7" s="27">
        <f>'Revenue Build'!C10*$B7</f>
        <v/>
      </c>
      <c r="D7" s="27">
        <f>'Revenue Build'!D10*$B7</f>
        <v/>
      </c>
      <c r="E7" s="27">
        <f>'Revenue Build'!E10*$B7</f>
        <v/>
      </c>
      <c r="F7" s="27">
        <f>'Revenue Build'!F10*$B7</f>
        <v/>
      </c>
      <c r="G7" s="27">
        <f>'Revenue Build'!G10*$B7</f>
        <v/>
      </c>
      <c r="H7" s="27">
        <f>'Revenue Build'!H10*$B7</f>
        <v/>
      </c>
      <c r="I7" s="27">
        <f>'Revenue Build'!I10*$B7</f>
        <v/>
      </c>
      <c r="J7" s="27">
        <f>'Revenue Build'!J10*$B7</f>
        <v/>
      </c>
      <c r="K7" s="27">
        <f>'Revenue Build'!K10*$B7</f>
        <v/>
      </c>
      <c r="L7" s="27">
        <f>'Revenue Build'!L10*$B7</f>
        <v/>
      </c>
      <c r="M7" s="27">
        <f>'Revenue Build'!M10*$B7</f>
        <v/>
      </c>
      <c r="N7" s="27">
        <f>'Revenue Build'!N10*$B7</f>
        <v/>
      </c>
      <c r="O7" s="28">
        <f>SUM(C7:N7)</f>
        <v/>
      </c>
    </row>
    <row r="8" ht="16" customHeight="1" s="130">
      <c r="A8" s="25" t="inlineStr">
        <is>
          <t>Kids' Wear</t>
        </is>
      </c>
      <c r="B8" s="26">
        <f>Assumptions!$B$49</f>
        <v/>
      </c>
      <c r="C8" s="27">
        <f>'Revenue Build'!C12*$B8</f>
        <v/>
      </c>
      <c r="D8" s="27">
        <f>'Revenue Build'!D12*$B8</f>
        <v/>
      </c>
      <c r="E8" s="27">
        <f>'Revenue Build'!E12*$B8</f>
        <v/>
      </c>
      <c r="F8" s="27">
        <f>'Revenue Build'!F12*$B8</f>
        <v/>
      </c>
      <c r="G8" s="27">
        <f>'Revenue Build'!G12*$B8</f>
        <v/>
      </c>
      <c r="H8" s="27">
        <f>'Revenue Build'!H12*$B8</f>
        <v/>
      </c>
      <c r="I8" s="27">
        <f>'Revenue Build'!I12*$B8</f>
        <v/>
      </c>
      <c r="J8" s="27">
        <f>'Revenue Build'!J12*$B8</f>
        <v/>
      </c>
      <c r="K8" s="27">
        <f>'Revenue Build'!K12*$B8</f>
        <v/>
      </c>
      <c r="L8" s="27">
        <f>'Revenue Build'!L12*$B8</f>
        <v/>
      </c>
      <c r="M8" s="27">
        <f>'Revenue Build'!M12*$B8</f>
        <v/>
      </c>
      <c r="N8" s="27">
        <f>'Revenue Build'!N12*$B8</f>
        <v/>
      </c>
      <c r="O8" s="28">
        <f>SUM(C8:N8)</f>
        <v/>
      </c>
    </row>
    <row r="9" ht="16" customHeight="1" s="130">
      <c r="A9" s="25" t="inlineStr">
        <is>
          <t>Accessories</t>
        </is>
      </c>
      <c r="B9" s="26">
        <f>Assumptions!$B$50</f>
        <v/>
      </c>
      <c r="C9" s="27">
        <f>'Revenue Build'!C14*$B9</f>
        <v/>
      </c>
      <c r="D9" s="27">
        <f>'Revenue Build'!D14*$B9</f>
        <v/>
      </c>
      <c r="E9" s="27">
        <f>'Revenue Build'!E14*$B9</f>
        <v/>
      </c>
      <c r="F9" s="27">
        <f>'Revenue Build'!F14*$B9</f>
        <v/>
      </c>
      <c r="G9" s="27">
        <f>'Revenue Build'!G14*$B9</f>
        <v/>
      </c>
      <c r="H9" s="27">
        <f>'Revenue Build'!H14*$B9</f>
        <v/>
      </c>
      <c r="I9" s="27">
        <f>'Revenue Build'!I14*$B9</f>
        <v/>
      </c>
      <c r="J9" s="27">
        <f>'Revenue Build'!J14*$B9</f>
        <v/>
      </c>
      <c r="K9" s="27">
        <f>'Revenue Build'!K14*$B9</f>
        <v/>
      </c>
      <c r="L9" s="27">
        <f>'Revenue Build'!L14*$B9</f>
        <v/>
      </c>
      <c r="M9" s="27">
        <f>'Revenue Build'!M14*$B9</f>
        <v/>
      </c>
      <c r="N9" s="27">
        <f>'Revenue Build'!N14*$B9</f>
        <v/>
      </c>
      <c r="O9" s="28">
        <f>SUM(C9:N9)</f>
        <v/>
      </c>
    </row>
    <row r="10" ht="16" customHeight="1" s="130">
      <c r="A10" s="29" t="inlineStr">
        <is>
          <t>Dubai Mall — Total COGS</t>
        </is>
      </c>
      <c r="B10" s="35" t="n"/>
      <c r="C10" s="31">
        <f>SUM(C6:C9)</f>
        <v/>
      </c>
      <c r="D10" s="31">
        <f>SUM(D6:D9)</f>
        <v/>
      </c>
      <c r="E10" s="31">
        <f>SUM(E6:E9)</f>
        <v/>
      </c>
      <c r="F10" s="31">
        <f>SUM(F6:F9)</f>
        <v/>
      </c>
      <c r="G10" s="31">
        <f>SUM(G6:G9)</f>
        <v/>
      </c>
      <c r="H10" s="31">
        <f>SUM(H6:H9)</f>
        <v/>
      </c>
      <c r="I10" s="31">
        <f>SUM(I6:I9)</f>
        <v/>
      </c>
      <c r="J10" s="31">
        <f>SUM(J6:J9)</f>
        <v/>
      </c>
      <c r="K10" s="31">
        <f>SUM(K6:K9)</f>
        <v/>
      </c>
      <c r="L10" s="31">
        <f>SUM(L6:L9)</f>
        <v/>
      </c>
      <c r="M10" s="31">
        <f>SUM(M6:M9)</f>
        <v/>
      </c>
      <c r="N10" s="31">
        <f>SUM(N6:N9)</f>
        <v/>
      </c>
      <c r="O10" s="31">
        <f>SUM(O6:O9)</f>
        <v/>
      </c>
    </row>
    <row r="11" ht="8" customHeight="1" s="130"/>
    <row r="12" ht="16" customHeight="1" s="130">
      <c r="A12" s="142" t="inlineStr">
        <is>
          <t>Marina Mall</t>
        </is>
      </c>
    </row>
    <row r="13" ht="16" customHeight="1" s="130">
      <c r="A13" s="25" t="inlineStr">
        <is>
          <t>Women's Wear</t>
        </is>
      </c>
      <c r="B13" s="26">
        <f>Assumptions!$B$47</f>
        <v/>
      </c>
      <c r="C13" s="27">
        <f>'Revenue Build'!C19*$B13</f>
        <v/>
      </c>
      <c r="D13" s="27">
        <f>'Revenue Build'!D19*$B13</f>
        <v/>
      </c>
      <c r="E13" s="27">
        <f>'Revenue Build'!E19*$B13</f>
        <v/>
      </c>
      <c r="F13" s="27">
        <f>'Revenue Build'!F19*$B13</f>
        <v/>
      </c>
      <c r="G13" s="27">
        <f>'Revenue Build'!G19*$B13</f>
        <v/>
      </c>
      <c r="H13" s="27">
        <f>'Revenue Build'!H19*$B13</f>
        <v/>
      </c>
      <c r="I13" s="27">
        <f>'Revenue Build'!I19*$B13</f>
        <v/>
      </c>
      <c r="J13" s="27">
        <f>'Revenue Build'!J19*$B13</f>
        <v/>
      </c>
      <c r="K13" s="27">
        <f>'Revenue Build'!K19*$B13</f>
        <v/>
      </c>
      <c r="L13" s="27">
        <f>'Revenue Build'!L19*$B13</f>
        <v/>
      </c>
      <c r="M13" s="27">
        <f>'Revenue Build'!M19*$B13</f>
        <v/>
      </c>
      <c r="N13" s="27">
        <f>'Revenue Build'!N19*$B13</f>
        <v/>
      </c>
      <c r="O13" s="28">
        <f>SUM(C13:N13)</f>
        <v/>
      </c>
    </row>
    <row r="14" ht="16" customHeight="1" s="130">
      <c r="A14" s="25" t="inlineStr">
        <is>
          <t>Men's Wear</t>
        </is>
      </c>
      <c r="B14" s="26">
        <f>Assumptions!$B$48</f>
        <v/>
      </c>
      <c r="C14" s="27">
        <f>'Revenue Build'!C21*$B14</f>
        <v/>
      </c>
      <c r="D14" s="27">
        <f>'Revenue Build'!D21*$B14</f>
        <v/>
      </c>
      <c r="E14" s="27">
        <f>'Revenue Build'!E21*$B14</f>
        <v/>
      </c>
      <c r="F14" s="27">
        <f>'Revenue Build'!F21*$B14</f>
        <v/>
      </c>
      <c r="G14" s="27">
        <f>'Revenue Build'!G21*$B14</f>
        <v/>
      </c>
      <c r="H14" s="27">
        <f>'Revenue Build'!H21*$B14</f>
        <v/>
      </c>
      <c r="I14" s="27">
        <f>'Revenue Build'!I21*$B14</f>
        <v/>
      </c>
      <c r="J14" s="27">
        <f>'Revenue Build'!J21*$B14</f>
        <v/>
      </c>
      <c r="K14" s="27">
        <f>'Revenue Build'!K21*$B14</f>
        <v/>
      </c>
      <c r="L14" s="27">
        <f>'Revenue Build'!L21*$B14</f>
        <v/>
      </c>
      <c r="M14" s="27">
        <f>'Revenue Build'!M21*$B14</f>
        <v/>
      </c>
      <c r="N14" s="27">
        <f>'Revenue Build'!N21*$B14</f>
        <v/>
      </c>
      <c r="O14" s="28">
        <f>SUM(C14:N14)</f>
        <v/>
      </c>
    </row>
    <row r="15" ht="16" customHeight="1" s="130">
      <c r="A15" s="25" t="inlineStr">
        <is>
          <t>Kids' Wear</t>
        </is>
      </c>
      <c r="B15" s="26">
        <f>Assumptions!$B$49</f>
        <v/>
      </c>
      <c r="C15" s="27">
        <f>'Revenue Build'!C23*$B15</f>
        <v/>
      </c>
      <c r="D15" s="27">
        <f>'Revenue Build'!D23*$B15</f>
        <v/>
      </c>
      <c r="E15" s="27">
        <f>'Revenue Build'!E23*$B15</f>
        <v/>
      </c>
      <c r="F15" s="27">
        <f>'Revenue Build'!F23*$B15</f>
        <v/>
      </c>
      <c r="G15" s="27">
        <f>'Revenue Build'!G23*$B15</f>
        <v/>
      </c>
      <c r="H15" s="27">
        <f>'Revenue Build'!H23*$B15</f>
        <v/>
      </c>
      <c r="I15" s="27">
        <f>'Revenue Build'!I23*$B15</f>
        <v/>
      </c>
      <c r="J15" s="27">
        <f>'Revenue Build'!J23*$B15</f>
        <v/>
      </c>
      <c r="K15" s="27">
        <f>'Revenue Build'!K23*$B15</f>
        <v/>
      </c>
      <c r="L15" s="27">
        <f>'Revenue Build'!L23*$B15</f>
        <v/>
      </c>
      <c r="M15" s="27">
        <f>'Revenue Build'!M23*$B15</f>
        <v/>
      </c>
      <c r="N15" s="27">
        <f>'Revenue Build'!N23*$B15</f>
        <v/>
      </c>
      <c r="O15" s="28">
        <f>SUM(C15:N15)</f>
        <v/>
      </c>
    </row>
    <row r="16" ht="16" customHeight="1" s="130">
      <c r="A16" s="25" t="inlineStr">
        <is>
          <t>Accessories</t>
        </is>
      </c>
      <c r="B16" s="26">
        <f>Assumptions!$B$50</f>
        <v/>
      </c>
      <c r="C16" s="27">
        <f>'Revenue Build'!C25*$B16</f>
        <v/>
      </c>
      <c r="D16" s="27">
        <f>'Revenue Build'!D25*$B16</f>
        <v/>
      </c>
      <c r="E16" s="27">
        <f>'Revenue Build'!E25*$B16</f>
        <v/>
      </c>
      <c r="F16" s="27">
        <f>'Revenue Build'!F25*$B16</f>
        <v/>
      </c>
      <c r="G16" s="27">
        <f>'Revenue Build'!G25*$B16</f>
        <v/>
      </c>
      <c r="H16" s="27">
        <f>'Revenue Build'!H25*$B16</f>
        <v/>
      </c>
      <c r="I16" s="27">
        <f>'Revenue Build'!I25*$B16</f>
        <v/>
      </c>
      <c r="J16" s="27">
        <f>'Revenue Build'!J25*$B16</f>
        <v/>
      </c>
      <c r="K16" s="27">
        <f>'Revenue Build'!K25*$B16</f>
        <v/>
      </c>
      <c r="L16" s="27">
        <f>'Revenue Build'!L25*$B16</f>
        <v/>
      </c>
      <c r="M16" s="27">
        <f>'Revenue Build'!M25*$B16</f>
        <v/>
      </c>
      <c r="N16" s="27">
        <f>'Revenue Build'!N25*$B16</f>
        <v/>
      </c>
      <c r="O16" s="28">
        <f>SUM(C16:N16)</f>
        <v/>
      </c>
    </row>
    <row r="17" ht="16" customHeight="1" s="130">
      <c r="A17" s="29" t="inlineStr">
        <is>
          <t>Marina Mall — Total COGS</t>
        </is>
      </c>
      <c r="B17" s="30" t="n"/>
      <c r="C17" s="31">
        <f>SUM(C13:C16)</f>
        <v/>
      </c>
      <c r="D17" s="31">
        <f>SUM(D13:D16)</f>
        <v/>
      </c>
      <c r="E17" s="31">
        <f>SUM(E13:E16)</f>
        <v/>
      </c>
      <c r="F17" s="31">
        <f>SUM(F13:F16)</f>
        <v/>
      </c>
      <c r="G17" s="31">
        <f>SUM(G13:G16)</f>
        <v/>
      </c>
      <c r="H17" s="31">
        <f>SUM(H13:H16)</f>
        <v/>
      </c>
      <c r="I17" s="31">
        <f>SUM(I13:I16)</f>
        <v/>
      </c>
      <c r="J17" s="31">
        <f>SUM(J13:J16)</f>
        <v/>
      </c>
      <c r="K17" s="31">
        <f>SUM(K13:K16)</f>
        <v/>
      </c>
      <c r="L17" s="31">
        <f>SUM(L13:L16)</f>
        <v/>
      </c>
      <c r="M17" s="31">
        <f>SUM(M13:M16)</f>
        <v/>
      </c>
      <c r="N17" s="31">
        <f>SUM(N13:N16)</f>
        <v/>
      </c>
      <c r="O17" s="31">
        <f>SUM(O13:O16)</f>
        <v/>
      </c>
    </row>
    <row r="18" ht="8" customHeight="1" s="130"/>
    <row r="19" ht="16" customHeight="1" s="130">
      <c r="A19" s="142" t="inlineStr">
        <is>
          <t>Online</t>
        </is>
      </c>
    </row>
    <row r="20" ht="16" customHeight="1" s="130">
      <c r="A20" s="25" t="inlineStr">
        <is>
          <t>Women's Wear</t>
        </is>
      </c>
      <c r="B20" s="26">
        <f>Assumptions!$B$47</f>
        <v/>
      </c>
      <c r="C20" s="27">
        <f>'Revenue Build'!C30*$B20</f>
        <v/>
      </c>
      <c r="D20" s="27">
        <f>'Revenue Build'!D30*$B20</f>
        <v/>
      </c>
      <c r="E20" s="27">
        <f>'Revenue Build'!E30*$B20</f>
        <v/>
      </c>
      <c r="F20" s="27">
        <f>'Revenue Build'!F30*$B20</f>
        <v/>
      </c>
      <c r="G20" s="27">
        <f>'Revenue Build'!G30*$B20</f>
        <v/>
      </c>
      <c r="H20" s="27">
        <f>'Revenue Build'!H30*$B20</f>
        <v/>
      </c>
      <c r="I20" s="27">
        <f>'Revenue Build'!I30*$B20</f>
        <v/>
      </c>
      <c r="J20" s="27">
        <f>'Revenue Build'!J30*$B20</f>
        <v/>
      </c>
      <c r="K20" s="27">
        <f>'Revenue Build'!K30*$B20</f>
        <v/>
      </c>
      <c r="L20" s="27">
        <f>'Revenue Build'!L30*$B20</f>
        <v/>
      </c>
      <c r="M20" s="27">
        <f>'Revenue Build'!M30*$B20</f>
        <v/>
      </c>
      <c r="N20" s="27">
        <f>'Revenue Build'!N30*$B20</f>
        <v/>
      </c>
      <c r="O20" s="28">
        <f>SUM(C20:N20)</f>
        <v/>
      </c>
    </row>
    <row r="21" ht="16" customHeight="1" s="130">
      <c r="A21" s="25" t="inlineStr">
        <is>
          <t>Men's Wear</t>
        </is>
      </c>
      <c r="B21" s="26">
        <f>Assumptions!$B$48</f>
        <v/>
      </c>
      <c r="C21" s="27">
        <f>'Revenue Build'!C32*$B21</f>
        <v/>
      </c>
      <c r="D21" s="27">
        <f>'Revenue Build'!D32*$B21</f>
        <v/>
      </c>
      <c r="E21" s="27">
        <f>'Revenue Build'!E32*$B21</f>
        <v/>
      </c>
      <c r="F21" s="27">
        <f>'Revenue Build'!F32*$B21</f>
        <v/>
      </c>
      <c r="G21" s="27">
        <f>'Revenue Build'!G32*$B21</f>
        <v/>
      </c>
      <c r="H21" s="27">
        <f>'Revenue Build'!H32*$B21</f>
        <v/>
      </c>
      <c r="I21" s="27">
        <f>'Revenue Build'!I32*$B21</f>
        <v/>
      </c>
      <c r="J21" s="27">
        <f>'Revenue Build'!J32*$B21</f>
        <v/>
      </c>
      <c r="K21" s="27">
        <f>'Revenue Build'!K32*$B21</f>
        <v/>
      </c>
      <c r="L21" s="27">
        <f>'Revenue Build'!L32*$B21</f>
        <v/>
      </c>
      <c r="M21" s="27">
        <f>'Revenue Build'!M32*$B21</f>
        <v/>
      </c>
      <c r="N21" s="27">
        <f>'Revenue Build'!N32*$B21</f>
        <v/>
      </c>
      <c r="O21" s="28">
        <f>SUM(C21:N21)</f>
        <v/>
      </c>
    </row>
    <row r="22" ht="16" customHeight="1" s="130">
      <c r="A22" s="25" t="inlineStr">
        <is>
          <t>Kids' Wear</t>
        </is>
      </c>
      <c r="B22" s="26">
        <f>Assumptions!$B$49</f>
        <v/>
      </c>
      <c r="C22" s="27">
        <f>'Revenue Build'!C34*$B22</f>
        <v/>
      </c>
      <c r="D22" s="27">
        <f>'Revenue Build'!D34*$B22</f>
        <v/>
      </c>
      <c r="E22" s="27">
        <f>'Revenue Build'!E34*$B22</f>
        <v/>
      </c>
      <c r="F22" s="27">
        <f>'Revenue Build'!F34*$B22</f>
        <v/>
      </c>
      <c r="G22" s="27">
        <f>'Revenue Build'!G34*$B22</f>
        <v/>
      </c>
      <c r="H22" s="27">
        <f>'Revenue Build'!H34*$B22</f>
        <v/>
      </c>
      <c r="I22" s="27">
        <f>'Revenue Build'!I34*$B22</f>
        <v/>
      </c>
      <c r="J22" s="27">
        <f>'Revenue Build'!J34*$B22</f>
        <v/>
      </c>
      <c r="K22" s="27">
        <f>'Revenue Build'!K34*$B22</f>
        <v/>
      </c>
      <c r="L22" s="27">
        <f>'Revenue Build'!L34*$B22</f>
        <v/>
      </c>
      <c r="M22" s="27">
        <f>'Revenue Build'!M34*$B22</f>
        <v/>
      </c>
      <c r="N22" s="27">
        <f>'Revenue Build'!N34*$B22</f>
        <v/>
      </c>
      <c r="O22" s="28">
        <f>SUM(C22:N22)</f>
        <v/>
      </c>
    </row>
    <row r="23" ht="16" customHeight="1" s="130">
      <c r="A23" s="25" t="inlineStr">
        <is>
          <t>Accessories</t>
        </is>
      </c>
      <c r="B23" s="26">
        <f>Assumptions!$B$50</f>
        <v/>
      </c>
      <c r="C23" s="27">
        <f>'Revenue Build'!C36*$B23</f>
        <v/>
      </c>
      <c r="D23" s="27">
        <f>'Revenue Build'!D36*$B23</f>
        <v/>
      </c>
      <c r="E23" s="27">
        <f>'Revenue Build'!E36*$B23</f>
        <v/>
      </c>
      <c r="F23" s="27">
        <f>'Revenue Build'!F36*$B23</f>
        <v/>
      </c>
      <c r="G23" s="27">
        <f>'Revenue Build'!G36*$B23</f>
        <v/>
      </c>
      <c r="H23" s="27">
        <f>'Revenue Build'!H36*$B23</f>
        <v/>
      </c>
      <c r="I23" s="27">
        <f>'Revenue Build'!I36*$B23</f>
        <v/>
      </c>
      <c r="J23" s="27">
        <f>'Revenue Build'!J36*$B23</f>
        <v/>
      </c>
      <c r="K23" s="27">
        <f>'Revenue Build'!K36*$B23</f>
        <v/>
      </c>
      <c r="L23" s="27">
        <f>'Revenue Build'!L36*$B23</f>
        <v/>
      </c>
      <c r="M23" s="27">
        <f>'Revenue Build'!M36*$B23</f>
        <v/>
      </c>
      <c r="N23" s="27">
        <f>'Revenue Build'!N36*$B23</f>
        <v/>
      </c>
      <c r="O23" s="28">
        <f>SUM(C23:N23)</f>
        <v/>
      </c>
    </row>
    <row r="24" ht="16" customHeight="1" s="130">
      <c r="A24" s="29" t="inlineStr">
        <is>
          <t>Online — Total COGS</t>
        </is>
      </c>
      <c r="B24" s="30" t="n"/>
      <c r="C24" s="31">
        <f>SUM(C20:C23)</f>
        <v/>
      </c>
      <c r="D24" s="31">
        <f>SUM(D20:D23)</f>
        <v/>
      </c>
      <c r="E24" s="31">
        <f>SUM(E20:E23)</f>
        <v/>
      </c>
      <c r="F24" s="31">
        <f>SUM(F20:F23)</f>
        <v/>
      </c>
      <c r="G24" s="31">
        <f>SUM(G20:G23)</f>
        <v/>
      </c>
      <c r="H24" s="31">
        <f>SUM(H20:H23)</f>
        <v/>
      </c>
      <c r="I24" s="31">
        <f>SUM(I20:I23)</f>
        <v/>
      </c>
      <c r="J24" s="31">
        <f>SUM(J20:J23)</f>
        <v/>
      </c>
      <c r="K24" s="31">
        <f>SUM(K20:K23)</f>
        <v/>
      </c>
      <c r="L24" s="31">
        <f>SUM(L20:L23)</f>
        <v/>
      </c>
      <c r="M24" s="31">
        <f>SUM(M20:M23)</f>
        <v/>
      </c>
      <c r="N24" s="31">
        <f>SUM(N20:N23)</f>
        <v/>
      </c>
      <c r="O24" s="31">
        <f>SUM(O20:O23)</f>
        <v/>
      </c>
    </row>
    <row r="25" ht="8" customHeight="1" s="130"/>
    <row r="26" ht="18" customHeight="1" s="130">
      <c r="A26" s="32" t="inlineStr">
        <is>
          <t>TOTAL COGS — ALL OUTLETS</t>
        </is>
      </c>
      <c r="B26" s="33" t="n"/>
      <c r="C26" s="34">
        <f>C10+C17+C24</f>
        <v/>
      </c>
      <c r="D26" s="34">
        <f>D10+D17+D24</f>
        <v/>
      </c>
      <c r="E26" s="34">
        <f>E10+E17+E24</f>
        <v/>
      </c>
      <c r="F26" s="34">
        <f>F10+F17+F24</f>
        <v/>
      </c>
      <c r="G26" s="34">
        <f>G10+G17+G24</f>
        <v/>
      </c>
      <c r="H26" s="34">
        <f>H10+H17+H24</f>
        <v/>
      </c>
      <c r="I26" s="34">
        <f>I10+I17+I24</f>
        <v/>
      </c>
      <c r="J26" s="34">
        <f>J10+J17+J24</f>
        <v/>
      </c>
      <c r="K26" s="34">
        <f>K10+K17+K24</f>
        <v/>
      </c>
      <c r="L26" s="34">
        <f>L10+L17+L24</f>
        <v/>
      </c>
      <c r="M26" s="34">
        <f>M10+M17+M24</f>
        <v/>
      </c>
      <c r="N26" s="34">
        <f>N10+N17+N24</f>
        <v/>
      </c>
      <c r="O26" s="34">
        <f>O10+O17+O24</f>
        <v/>
      </c>
    </row>
  </sheetData>
  <mergeCells count="5">
    <mergeCell ref="A12:O12"/>
    <mergeCell ref="A2:O2"/>
    <mergeCell ref="A19:O19"/>
    <mergeCell ref="A1:O1"/>
    <mergeCell ref="A5:O5"/>
  </mergeCells>
  <pageMargins left="0.75" right="0.75" top="1" bottom="1" header="0.5" footer="0.5"/>
</worksheet>
</file>

<file path=xl/worksheets/sheet4.xml><?xml version="1.0" encoding="utf-8"?>
<worksheet xmlns="http://schemas.openxmlformats.org/spreadsheetml/2006/main">
  <sheetPr>
    <tabColor rgb="FFED7D31"/>
    <outlinePr summaryBelow="1" summaryRight="1"/>
    <pageSetUpPr/>
  </sheetPr>
  <dimension ref="A1:O23"/>
  <sheetViews>
    <sheetView workbookViewId="0">
      <pane xSplit="2" ySplit="4" topLeftCell="C5" activePane="bottomRight" state="frozen"/>
      <selection pane="topRight" activeCell="A1" sqref="A1"/>
      <selection pane="bottomLeft" activeCell="A1" sqref="A1"/>
      <selection pane="bottomRight" activeCell="M23" sqref="M23"/>
    </sheetView>
  </sheetViews>
  <sheetFormatPr baseColWidth="10" defaultColWidth="8.83203125" defaultRowHeight="15"/>
  <cols>
    <col width="26" customWidth="1" style="130" min="1" max="1"/>
    <col width="4" customWidth="1" style="130" min="2" max="2"/>
    <col width="12" customWidth="1" style="130" min="3" max="15"/>
  </cols>
  <sheetData>
    <row r="1" ht="24" customHeight="1" s="130">
      <c r="A1" s="147" t="inlineStr">
        <is>
          <t>ZARA &amp; CO. — OPEX DETAIL FY2025</t>
        </is>
      </c>
    </row>
    <row r="2" ht="14" customHeight="1" s="130">
      <c r="A2" s="145" t="inlineStr">
        <is>
          <t>Formulas only — fixed costs from Assumptions, marketing linked to Revenue Build.</t>
        </is>
      </c>
    </row>
    <row r="3" ht="8" customHeight="1" s="130"/>
    <row r="4" ht="16" customHeight="1" s="130">
      <c r="A4" s="38" t="inlineStr">
        <is>
          <t>Item</t>
        </is>
      </c>
      <c r="C4" s="39" t="inlineStr">
        <is>
          <t>Jan</t>
        </is>
      </c>
      <c r="D4" s="39" t="inlineStr">
        <is>
          <t>Feb</t>
        </is>
      </c>
      <c r="E4" s="39" t="inlineStr">
        <is>
          <t>Mar</t>
        </is>
      </c>
      <c r="F4" s="39" t="inlineStr">
        <is>
          <t>Apr</t>
        </is>
      </c>
      <c r="G4" s="39" t="inlineStr">
        <is>
          <t>May</t>
        </is>
      </c>
      <c r="H4" s="39" t="inlineStr">
        <is>
          <t>Jun</t>
        </is>
      </c>
      <c r="I4" s="39" t="inlineStr">
        <is>
          <t>Jul</t>
        </is>
      </c>
      <c r="J4" s="39" t="inlineStr">
        <is>
          <t>Aug</t>
        </is>
      </c>
      <c r="K4" s="39" t="inlineStr">
        <is>
          <t>Sep</t>
        </is>
      </c>
      <c r="L4" s="39" t="inlineStr">
        <is>
          <t>Oct</t>
        </is>
      </c>
      <c r="M4" s="39" t="inlineStr">
        <is>
          <t>Nov</t>
        </is>
      </c>
      <c r="N4" s="39" t="inlineStr">
        <is>
          <t>Dec</t>
        </is>
      </c>
      <c r="O4" s="39" t="inlineStr">
        <is>
          <t>TOTAL</t>
        </is>
      </c>
    </row>
    <row r="5" ht="16" customHeight="1" s="130">
      <c r="A5" s="146" t="inlineStr">
        <is>
          <t>Dubai Mall</t>
        </is>
      </c>
    </row>
    <row r="6" ht="16" customHeight="1" s="130">
      <c r="A6" s="40" t="inlineStr">
        <is>
          <t>Rent</t>
        </is>
      </c>
      <c r="C6" s="41">
        <f>Assumptions!$B$54</f>
        <v/>
      </c>
      <c r="D6" s="41">
        <f>Assumptions!$B$54</f>
        <v/>
      </c>
      <c r="E6" s="41">
        <f>Assumptions!$B$54</f>
        <v/>
      </c>
      <c r="F6" s="41">
        <f>Assumptions!$B$54</f>
        <v/>
      </c>
      <c r="G6" s="41">
        <f>Assumptions!$B$54</f>
        <v/>
      </c>
      <c r="H6" s="41">
        <f>Assumptions!$B$54</f>
        <v/>
      </c>
      <c r="I6" s="41">
        <f>Assumptions!$B$54</f>
        <v/>
      </c>
      <c r="J6" s="41">
        <f>Assumptions!$B$54</f>
        <v/>
      </c>
      <c r="K6" s="41">
        <f>Assumptions!$B$54</f>
        <v/>
      </c>
      <c r="L6" s="41">
        <f>Assumptions!$B$54</f>
        <v/>
      </c>
      <c r="M6" s="41">
        <f>Assumptions!$B$54</f>
        <v/>
      </c>
      <c r="N6" s="41">
        <f>Assumptions!$B$54</f>
        <v/>
      </c>
      <c r="O6" s="42">
        <f>SUM(C6:N6)</f>
        <v/>
      </c>
    </row>
    <row r="7" ht="16" customHeight="1" s="130">
      <c r="A7" s="40" t="inlineStr">
        <is>
          <t>Payroll</t>
        </is>
      </c>
      <c r="C7" s="41">
        <f>Assumptions!$B$55</f>
        <v/>
      </c>
      <c r="D7" s="41">
        <f>Assumptions!$B$55</f>
        <v/>
      </c>
      <c r="E7" s="41">
        <f>Assumptions!$B$55</f>
        <v/>
      </c>
      <c r="F7" s="41">
        <f>Assumptions!$B$55</f>
        <v/>
      </c>
      <c r="G7" s="41">
        <f>Assumptions!$B$55</f>
        <v/>
      </c>
      <c r="H7" s="41">
        <f>Assumptions!$B$55</f>
        <v/>
      </c>
      <c r="I7" s="41">
        <f>Assumptions!$B$55</f>
        <v/>
      </c>
      <c r="J7" s="41">
        <f>Assumptions!$B$55</f>
        <v/>
      </c>
      <c r="K7" s="41">
        <f>Assumptions!$B$55</f>
        <v/>
      </c>
      <c r="L7" s="41">
        <f>Assumptions!$B$55</f>
        <v/>
      </c>
      <c r="M7" s="41">
        <f>Assumptions!$B$55</f>
        <v/>
      </c>
      <c r="N7" s="41">
        <f>Assumptions!$B$55</f>
        <v/>
      </c>
      <c r="O7" s="42">
        <f>SUM(C7:N7)</f>
        <v/>
      </c>
    </row>
    <row r="8" ht="16" customHeight="1" s="130">
      <c r="A8" s="40" t="inlineStr">
        <is>
          <t>Marketing</t>
        </is>
      </c>
      <c r="C8" s="41">
        <f>'Revenue Build'!C$15*Assumptions!$B$56</f>
        <v/>
      </c>
      <c r="D8" s="41">
        <f>'Revenue Build'!D$15*Assumptions!$B$56</f>
        <v/>
      </c>
      <c r="E8" s="41">
        <f>'Revenue Build'!E$15*Assumptions!$B$56</f>
        <v/>
      </c>
      <c r="F8" s="41">
        <f>'Revenue Build'!F$15*Assumptions!$B$56</f>
        <v/>
      </c>
      <c r="G8" s="41">
        <f>'Revenue Build'!G$15*Assumptions!$B$56</f>
        <v/>
      </c>
      <c r="H8" s="41">
        <f>'Revenue Build'!H$15*Assumptions!$B$56</f>
        <v/>
      </c>
      <c r="I8" s="41">
        <f>'Revenue Build'!I$15*Assumptions!$B$56</f>
        <v/>
      </c>
      <c r="J8" s="41">
        <f>'Revenue Build'!J$15*Assumptions!$B$56</f>
        <v/>
      </c>
      <c r="K8" s="41">
        <f>'Revenue Build'!K$15*Assumptions!$B$56</f>
        <v/>
      </c>
      <c r="L8" s="41">
        <f>'Revenue Build'!L$15*Assumptions!$B$56</f>
        <v/>
      </c>
      <c r="M8" s="41">
        <f>'Revenue Build'!M$15*Assumptions!$B$56</f>
        <v/>
      </c>
      <c r="N8" s="41">
        <f>'Revenue Build'!N$15*Assumptions!$B$56</f>
        <v/>
      </c>
      <c r="O8" s="42">
        <f>SUM(C8:N8)</f>
        <v/>
      </c>
    </row>
    <row r="9" ht="16" customHeight="1" s="130">
      <c r="A9" s="43" t="inlineStr">
        <is>
          <t>Dubai Mall — Total OpEx</t>
        </is>
      </c>
      <c r="C9" s="44">
        <f>SUM(C6:C8)</f>
        <v/>
      </c>
      <c r="D9" s="44">
        <f>SUM(D6:D8)</f>
        <v/>
      </c>
      <c r="E9" s="44">
        <f>SUM(E6:E8)</f>
        <v/>
      </c>
      <c r="F9" s="44">
        <f>SUM(F6:F8)</f>
        <v/>
      </c>
      <c r="G9" s="44">
        <f>SUM(G6:G8)</f>
        <v/>
      </c>
      <c r="H9" s="44">
        <f>SUM(H6:H8)</f>
        <v/>
      </c>
      <c r="I9" s="44">
        <f>SUM(I6:I8)</f>
        <v/>
      </c>
      <c r="J9" s="44">
        <f>SUM(J6:J8)</f>
        <v/>
      </c>
      <c r="K9" s="44">
        <f>SUM(K6:K8)</f>
        <v/>
      </c>
      <c r="L9" s="44">
        <f>SUM(L6:L8)</f>
        <v/>
      </c>
      <c r="M9" s="44">
        <f>SUM(M6:M8)</f>
        <v/>
      </c>
      <c r="N9" s="44">
        <f>SUM(N6:N8)</f>
        <v/>
      </c>
      <c r="O9" s="44">
        <f>SUM(O6:O8)</f>
        <v/>
      </c>
    </row>
    <row r="10" ht="8" customHeight="1" s="130"/>
    <row r="11" ht="16" customHeight="1" s="130">
      <c r="A11" s="146" t="inlineStr">
        <is>
          <t>Marina Mall</t>
        </is>
      </c>
    </row>
    <row r="12" ht="16" customHeight="1" s="130">
      <c r="A12" s="40" t="inlineStr">
        <is>
          <t>Rent</t>
        </is>
      </c>
      <c r="C12" s="41">
        <f>Assumptions!$C$54</f>
        <v/>
      </c>
      <c r="D12" s="41">
        <f>Assumptions!$C$54</f>
        <v/>
      </c>
      <c r="E12" s="41">
        <f>Assumptions!$C$54</f>
        <v/>
      </c>
      <c r="F12" s="41">
        <f>Assumptions!$C$54</f>
        <v/>
      </c>
      <c r="G12" s="41">
        <f>Assumptions!$C$54</f>
        <v/>
      </c>
      <c r="H12" s="41">
        <f>Assumptions!$C$54</f>
        <v/>
      </c>
      <c r="I12" s="41">
        <f>Assumptions!$C$54</f>
        <v/>
      </c>
      <c r="J12" s="41">
        <f>Assumptions!$C$54</f>
        <v/>
      </c>
      <c r="K12" s="41">
        <f>Assumptions!$C$54</f>
        <v/>
      </c>
      <c r="L12" s="41">
        <f>Assumptions!$C$54</f>
        <v/>
      </c>
      <c r="M12" s="41">
        <f>Assumptions!$C$54</f>
        <v/>
      </c>
      <c r="N12" s="41">
        <f>Assumptions!$C$54</f>
        <v/>
      </c>
      <c r="O12" s="42">
        <f>SUM(C12:N12)</f>
        <v/>
      </c>
    </row>
    <row r="13" ht="16" customHeight="1" s="130">
      <c r="A13" s="40" t="inlineStr">
        <is>
          <t>Payroll</t>
        </is>
      </c>
      <c r="C13" s="41">
        <f>Assumptions!$C$55</f>
        <v/>
      </c>
      <c r="D13" s="41">
        <f>Assumptions!$C$55</f>
        <v/>
      </c>
      <c r="E13" s="41">
        <f>Assumptions!$C$55</f>
        <v/>
      </c>
      <c r="F13" s="41">
        <f>Assumptions!$C$55</f>
        <v/>
      </c>
      <c r="G13" s="41">
        <f>Assumptions!$C$55</f>
        <v/>
      </c>
      <c r="H13" s="41">
        <f>Assumptions!$C$55</f>
        <v/>
      </c>
      <c r="I13" s="41">
        <f>Assumptions!$C$55</f>
        <v/>
      </c>
      <c r="J13" s="41">
        <f>Assumptions!$C$55</f>
        <v/>
      </c>
      <c r="K13" s="41">
        <f>Assumptions!$C$55</f>
        <v/>
      </c>
      <c r="L13" s="41">
        <f>Assumptions!$C$55</f>
        <v/>
      </c>
      <c r="M13" s="41">
        <f>Assumptions!$C$55</f>
        <v/>
      </c>
      <c r="N13" s="41">
        <f>Assumptions!$C$55</f>
        <v/>
      </c>
      <c r="O13" s="42">
        <f>SUM(C13:N13)</f>
        <v/>
      </c>
    </row>
    <row r="14" ht="16" customHeight="1" s="130">
      <c r="A14" s="40" t="inlineStr">
        <is>
          <t>Marketing</t>
        </is>
      </c>
      <c r="C14" s="41">
        <f>'Revenue Build'!C$26*Assumptions!$C$56</f>
        <v/>
      </c>
      <c r="D14" s="41">
        <f>'Revenue Build'!D$26*Assumptions!$C$56</f>
        <v/>
      </c>
      <c r="E14" s="41">
        <f>'Revenue Build'!E$26*Assumptions!$C$56</f>
        <v/>
      </c>
      <c r="F14" s="41">
        <f>'Revenue Build'!F$26*Assumptions!$C$56</f>
        <v/>
      </c>
      <c r="G14" s="41">
        <f>'Revenue Build'!G$26*Assumptions!$C$56</f>
        <v/>
      </c>
      <c r="H14" s="41">
        <f>'Revenue Build'!H$26*Assumptions!$C$56</f>
        <v/>
      </c>
      <c r="I14" s="41">
        <f>'Revenue Build'!I$26*Assumptions!$C$56</f>
        <v/>
      </c>
      <c r="J14" s="41">
        <f>'Revenue Build'!J$26*Assumptions!$C$56</f>
        <v/>
      </c>
      <c r="K14" s="41">
        <f>'Revenue Build'!K$26*Assumptions!$C$56</f>
        <v/>
      </c>
      <c r="L14" s="41">
        <f>'Revenue Build'!L$26*Assumptions!$C$56</f>
        <v/>
      </c>
      <c r="M14" s="41">
        <f>'Revenue Build'!M$26*Assumptions!$C$56</f>
        <v/>
      </c>
      <c r="N14" s="41">
        <f>'Revenue Build'!N$26*Assumptions!$C$56</f>
        <v/>
      </c>
      <c r="O14" s="42">
        <f>SUM(C14:N14)</f>
        <v/>
      </c>
    </row>
    <row r="15" ht="16" customHeight="1" s="130">
      <c r="A15" s="43" t="inlineStr">
        <is>
          <t>Marina Mall — Total OpEx</t>
        </is>
      </c>
      <c r="C15" s="44">
        <f>SUM(C12:C14)</f>
        <v/>
      </c>
      <c r="D15" s="44">
        <f>SUM(D12:D14)</f>
        <v/>
      </c>
      <c r="E15" s="44">
        <f>SUM(E12:E14)</f>
        <v/>
      </c>
      <c r="F15" s="44">
        <f>SUM(F12:F14)</f>
        <v/>
      </c>
      <c r="G15" s="44">
        <f>SUM(G12:G14)</f>
        <v/>
      </c>
      <c r="H15" s="44">
        <f>SUM(H12:H14)</f>
        <v/>
      </c>
      <c r="I15" s="44">
        <f>SUM(I12:I14)</f>
        <v/>
      </c>
      <c r="J15" s="44">
        <f>SUM(J12:J14)</f>
        <v/>
      </c>
      <c r="K15" s="44">
        <f>SUM(K12:K14)</f>
        <v/>
      </c>
      <c r="L15" s="44">
        <f>SUM(L12:L14)</f>
        <v/>
      </c>
      <c r="M15" s="44">
        <f>SUM(M12:M14)</f>
        <v/>
      </c>
      <c r="N15" s="44">
        <f>SUM(N12:N14)</f>
        <v/>
      </c>
      <c r="O15" s="44">
        <f>SUM(O12:O14)</f>
        <v/>
      </c>
    </row>
    <row r="16" ht="8" customHeight="1" s="130"/>
    <row r="17" ht="16" customHeight="1" s="130">
      <c r="A17" s="146" t="inlineStr">
        <is>
          <t>Online</t>
        </is>
      </c>
    </row>
    <row r="18" ht="16" customHeight="1" s="130">
      <c r="A18" s="40" t="inlineStr">
        <is>
          <t>Rent</t>
        </is>
      </c>
      <c r="C18" s="41">
        <f>Assumptions!$D$54</f>
        <v/>
      </c>
      <c r="D18" s="41">
        <f>Assumptions!$D$54</f>
        <v/>
      </c>
      <c r="E18" s="41">
        <f>Assumptions!$D$54</f>
        <v/>
      </c>
      <c r="F18" s="41">
        <f>Assumptions!$D$54</f>
        <v/>
      </c>
      <c r="G18" s="41">
        <f>Assumptions!$D$54</f>
        <v/>
      </c>
      <c r="H18" s="41">
        <f>Assumptions!$D$54</f>
        <v/>
      </c>
      <c r="I18" s="41">
        <f>Assumptions!$D$54</f>
        <v/>
      </c>
      <c r="J18" s="41">
        <f>Assumptions!$D$54</f>
        <v/>
      </c>
      <c r="K18" s="41">
        <f>Assumptions!$D$54</f>
        <v/>
      </c>
      <c r="L18" s="41">
        <f>Assumptions!$D$54</f>
        <v/>
      </c>
      <c r="M18" s="41">
        <f>Assumptions!$D$54</f>
        <v/>
      </c>
      <c r="N18" s="41">
        <f>Assumptions!$D$54</f>
        <v/>
      </c>
      <c r="O18" s="42">
        <f>SUM(C18:N18)</f>
        <v/>
      </c>
    </row>
    <row r="19" ht="16" customHeight="1" s="130">
      <c r="A19" s="40" t="inlineStr">
        <is>
          <t>Payroll</t>
        </is>
      </c>
      <c r="C19" s="41">
        <f>Assumptions!$D$55</f>
        <v/>
      </c>
      <c r="D19" s="41">
        <f>Assumptions!$D$55</f>
        <v/>
      </c>
      <c r="E19" s="41">
        <f>Assumptions!$D$55</f>
        <v/>
      </c>
      <c r="F19" s="41">
        <f>Assumptions!$D$55</f>
        <v/>
      </c>
      <c r="G19" s="41">
        <f>Assumptions!$D$55</f>
        <v/>
      </c>
      <c r="H19" s="41">
        <f>Assumptions!$D$55</f>
        <v/>
      </c>
      <c r="I19" s="41">
        <f>Assumptions!$D$55</f>
        <v/>
      </c>
      <c r="J19" s="41">
        <f>Assumptions!$D$55</f>
        <v/>
      </c>
      <c r="K19" s="41">
        <f>Assumptions!$D$55</f>
        <v/>
      </c>
      <c r="L19" s="41">
        <f>Assumptions!$D$55</f>
        <v/>
      </c>
      <c r="M19" s="41">
        <f>Assumptions!$D$55</f>
        <v/>
      </c>
      <c r="N19" s="41">
        <f>Assumptions!$D$55</f>
        <v/>
      </c>
      <c r="O19" s="42">
        <f>SUM(C19:N19)</f>
        <v/>
      </c>
    </row>
    <row r="20" ht="16" customHeight="1" s="130">
      <c r="A20" s="40" t="inlineStr">
        <is>
          <t>Marketing</t>
        </is>
      </c>
      <c r="C20" s="41">
        <f>'Revenue Build'!C$37*Assumptions!$D$56</f>
        <v/>
      </c>
      <c r="D20" s="41">
        <f>'Revenue Build'!D$37*Assumptions!$D$56</f>
        <v/>
      </c>
      <c r="E20" s="41">
        <f>'Revenue Build'!E$37*Assumptions!$D$56</f>
        <v/>
      </c>
      <c r="F20" s="41">
        <f>'Revenue Build'!F$37*Assumptions!$D$56</f>
        <v/>
      </c>
      <c r="G20" s="41">
        <f>'Revenue Build'!G$37*Assumptions!$D$56</f>
        <v/>
      </c>
      <c r="H20" s="41">
        <f>'Revenue Build'!H$37*Assumptions!$D$56</f>
        <v/>
      </c>
      <c r="I20" s="41">
        <f>'Revenue Build'!I$37*Assumptions!$D$56</f>
        <v/>
      </c>
      <c r="J20" s="41">
        <f>'Revenue Build'!J$37*Assumptions!$D$56</f>
        <v/>
      </c>
      <c r="K20" s="41">
        <f>'Revenue Build'!K$37*Assumptions!$D$56</f>
        <v/>
      </c>
      <c r="L20" s="41">
        <f>'Revenue Build'!L$37*Assumptions!$D$56</f>
        <v/>
      </c>
      <c r="M20" s="41">
        <f>'Revenue Build'!M$37*Assumptions!$D$56</f>
        <v/>
      </c>
      <c r="N20" s="41">
        <f>'Revenue Build'!N$37*Assumptions!$D$56</f>
        <v/>
      </c>
      <c r="O20" s="42">
        <f>SUM(C20:N20)</f>
        <v/>
      </c>
    </row>
    <row r="21" ht="16" customHeight="1" s="130">
      <c r="A21" s="43" t="inlineStr">
        <is>
          <t>Online — Total OpEx</t>
        </is>
      </c>
      <c r="C21" s="44">
        <f>SUM(C18:C20)</f>
        <v/>
      </c>
      <c r="D21" s="44">
        <f>SUM(D18:D20)</f>
        <v/>
      </c>
      <c r="E21" s="44">
        <f>SUM(E18:E20)</f>
        <v/>
      </c>
      <c r="F21" s="44">
        <f>SUM(F18:F20)</f>
        <v/>
      </c>
      <c r="G21" s="44">
        <f>SUM(G18:G20)</f>
        <v/>
      </c>
      <c r="H21" s="44">
        <f>SUM(H18:H20)</f>
        <v/>
      </c>
      <c r="I21" s="44">
        <f>SUM(I18:I20)</f>
        <v/>
      </c>
      <c r="J21" s="44">
        <f>SUM(J18:J20)</f>
        <v/>
      </c>
      <c r="K21" s="44">
        <f>SUM(K18:K20)</f>
        <v/>
      </c>
      <c r="L21" s="44">
        <f>SUM(L18:L20)</f>
        <v/>
      </c>
      <c r="M21" s="44">
        <f>SUM(M18:M20)</f>
        <v/>
      </c>
      <c r="N21" s="44">
        <f>SUM(N18:N20)</f>
        <v/>
      </c>
      <c r="O21" s="44">
        <f>SUM(O18:O20)</f>
        <v/>
      </c>
    </row>
    <row r="22" ht="8" customHeight="1" s="130"/>
    <row r="23" ht="18" customHeight="1" s="130">
      <c r="A23" s="45" t="inlineStr">
        <is>
          <t>TOTAL OPEX — ALL OUTLETS</t>
        </is>
      </c>
      <c r="C23" s="46">
        <f>C9+C15+C21</f>
        <v/>
      </c>
      <c r="D23" s="46">
        <f>D9+D15+D21</f>
        <v/>
      </c>
      <c r="E23" s="46">
        <f>E9+E15+E21</f>
        <v/>
      </c>
      <c r="F23" s="46">
        <f>F9+F15+F21</f>
        <v/>
      </c>
      <c r="G23" s="46">
        <f>G9+G15+G21</f>
        <v/>
      </c>
      <c r="H23" s="46">
        <f>H9+H15+H21</f>
        <v/>
      </c>
      <c r="I23" s="46">
        <f>I9+I15+I21</f>
        <v/>
      </c>
      <c r="J23" s="46">
        <f>J9+J15+J21</f>
        <v/>
      </c>
      <c r="K23" s="46">
        <f>K9+K15+K21</f>
        <v/>
      </c>
      <c r="L23" s="46">
        <f>L9+L15+L21</f>
        <v/>
      </c>
      <c r="M23" s="46">
        <f>M9+M15+M21</f>
        <v/>
      </c>
      <c r="N23" s="46">
        <f>N9+N15+N21</f>
        <v/>
      </c>
      <c r="O23" s="46">
        <f>O9+O15+O21</f>
        <v/>
      </c>
    </row>
  </sheetData>
  <mergeCells count="5">
    <mergeCell ref="A2:O2"/>
    <mergeCell ref="A11:O11"/>
    <mergeCell ref="A1:O1"/>
    <mergeCell ref="A5:O5"/>
    <mergeCell ref="A17:O17"/>
  </mergeCells>
  <pageMargins left="0.75" right="0.75" top="1" bottom="1" header="0.5" footer="0.5"/>
</worksheet>
</file>

<file path=xl/worksheets/sheet5.xml><?xml version="1.0" encoding="utf-8"?>
<worksheet xmlns="http://schemas.openxmlformats.org/spreadsheetml/2006/main">
  <sheetPr>
    <tabColor rgb="FF203864"/>
    <outlinePr summaryBelow="1" summaryRight="1"/>
    <pageSetUpPr/>
  </sheetPr>
  <dimension ref="A1:R13"/>
  <sheetViews>
    <sheetView workbookViewId="0">
      <pane xSplit="2" ySplit="5" topLeftCell="C6" activePane="bottomRight" state="frozen"/>
      <selection pane="topRight" activeCell="A1" sqref="A1"/>
      <selection pane="bottomLeft" activeCell="A1" sqref="A1"/>
      <selection pane="bottomRight" activeCell="O6" sqref="O6"/>
    </sheetView>
  </sheetViews>
  <sheetFormatPr baseColWidth="10" defaultColWidth="8.83203125" defaultRowHeight="15"/>
  <cols>
    <col width="24" customWidth="1" style="130" min="1" max="1"/>
    <col width="16" customWidth="1" style="130" min="2" max="2"/>
    <col width="13" customWidth="1" style="130" min="3" max="18"/>
  </cols>
  <sheetData>
    <row r="1" ht="24" customHeight="1" s="130">
      <c r="A1" s="149" t="inlineStr">
        <is>
          <t>ZARA &amp; CO. — P&amp;L SUMMARY FY2025</t>
        </is>
      </c>
    </row>
    <row r="2" ht="14" customHeight="1" s="130">
      <c r="A2" s="148" t="inlineStr">
        <is>
          <t>Budget linked from Revenue Build / COGS Build / OpEx Detail. Actuals hardcoded.</t>
        </is>
      </c>
    </row>
    <row r="3" ht="14" customHeight="1" s="130">
      <c r="A3" s="47" t="inlineStr">
        <is>
          <t>Colour key:</t>
        </is>
      </c>
      <c r="B3" s="48" t="inlineStr">
        <is>
          <t xml:space="preserve">  FY2024 Prior Year  </t>
        </is>
      </c>
      <c r="C3" s="49" t="inlineStr">
        <is>
          <t xml:space="preserve">  Budget (formula)  </t>
        </is>
      </c>
      <c r="D3" s="50" t="inlineStr">
        <is>
          <t xml:space="preserve">  Actual (hardcoded)  </t>
        </is>
      </c>
    </row>
    <row r="4" ht="8" customHeight="1" s="130"/>
    <row r="5" ht="16" customHeight="1" s="130">
      <c r="A5" s="51" t="inlineStr">
        <is>
          <t>Line Item</t>
        </is>
      </c>
      <c r="B5" s="52" t="inlineStr">
        <is>
          <t>FY2024 Actual</t>
        </is>
      </c>
      <c r="C5" s="53" t="inlineStr">
        <is>
          <t>Jan Budget</t>
        </is>
      </c>
      <c r="D5" s="53" t="inlineStr">
        <is>
          <t>Feb Budget</t>
        </is>
      </c>
      <c r="E5" s="53" t="inlineStr">
        <is>
          <t>Mar Budget</t>
        </is>
      </c>
      <c r="F5" s="53" t="inlineStr">
        <is>
          <t>Apr Budget</t>
        </is>
      </c>
      <c r="G5" s="53" t="inlineStr">
        <is>
          <t>May Budget</t>
        </is>
      </c>
      <c r="H5" s="53" t="inlineStr">
        <is>
          <t>Jun Budget</t>
        </is>
      </c>
      <c r="I5" s="53" t="inlineStr">
        <is>
          <t>Jul Budget</t>
        </is>
      </c>
      <c r="J5" s="53" t="inlineStr">
        <is>
          <t>Aug Budget</t>
        </is>
      </c>
      <c r="K5" s="53" t="inlineStr">
        <is>
          <t>Sep Budget</t>
        </is>
      </c>
      <c r="L5" s="53" t="inlineStr">
        <is>
          <t>Oct Budget</t>
        </is>
      </c>
      <c r="M5" s="53" t="inlineStr">
        <is>
          <t>Nov Budget</t>
        </is>
      </c>
      <c r="N5" s="53" t="inlineStr">
        <is>
          <t>Dec Budget</t>
        </is>
      </c>
      <c r="O5" s="54" t="inlineStr">
        <is>
          <t>FY2025 Budget</t>
        </is>
      </c>
      <c r="P5" s="55" t="inlineStr">
        <is>
          <t>Jan Actual</t>
        </is>
      </c>
      <c r="Q5" s="55" t="inlineStr">
        <is>
          <t>Feb Actual</t>
        </is>
      </c>
      <c r="R5" s="55" t="inlineStr">
        <is>
          <t>Mar Actual</t>
        </is>
      </c>
    </row>
    <row r="6" ht="17" customHeight="1" s="130">
      <c r="A6" s="56" t="inlineStr">
        <is>
          <t>Revenue</t>
        </is>
      </c>
      <c r="B6" s="57" t="n">
        <v>19800000</v>
      </c>
      <c r="C6" s="58">
        <f>'Revenue Build'!C39</f>
        <v/>
      </c>
      <c r="D6" s="58">
        <f>'Revenue Build'!D39</f>
        <v/>
      </c>
      <c r="E6" s="58">
        <f>'Revenue Build'!E39</f>
        <v/>
      </c>
      <c r="F6" s="58">
        <f>'Revenue Build'!F39</f>
        <v/>
      </c>
      <c r="G6" s="58">
        <f>'Revenue Build'!G39</f>
        <v/>
      </c>
      <c r="H6" s="58">
        <f>'Revenue Build'!H39</f>
        <v/>
      </c>
      <c r="I6" s="58">
        <f>'Revenue Build'!I39</f>
        <v/>
      </c>
      <c r="J6" s="58">
        <f>'Revenue Build'!J39</f>
        <v/>
      </c>
      <c r="K6" s="58">
        <f>'Revenue Build'!K39</f>
        <v/>
      </c>
      <c r="L6" s="58">
        <f>'Revenue Build'!L39</f>
        <v/>
      </c>
      <c r="M6" s="58">
        <f>'Revenue Build'!M39</f>
        <v/>
      </c>
      <c r="N6" s="58">
        <f>'Revenue Build'!N39</f>
        <v/>
      </c>
      <c r="O6" s="59">
        <f>'Revenue Build'!O39</f>
        <v/>
      </c>
      <c r="P6" s="60" t="n">
        <v>1900000</v>
      </c>
      <c r="Q6" s="60" t="n">
        <v>1860000</v>
      </c>
      <c r="R6" s="60" t="n">
        <v>2280000</v>
      </c>
    </row>
    <row r="7" ht="17" customHeight="1" s="130">
      <c r="A7" s="61" t="inlineStr">
        <is>
          <t>Less: COGS</t>
        </is>
      </c>
      <c r="B7" s="62" t="n">
        <v>9200000</v>
      </c>
      <c r="C7" s="63">
        <f>'COGS Build'!C26</f>
        <v/>
      </c>
      <c r="D7" s="63">
        <f>'COGS Build'!D26</f>
        <v/>
      </c>
      <c r="E7" s="63">
        <f>'COGS Build'!E26</f>
        <v/>
      </c>
      <c r="F7" s="63">
        <f>'COGS Build'!F26</f>
        <v/>
      </c>
      <c r="G7" s="63">
        <f>'COGS Build'!G26</f>
        <v/>
      </c>
      <c r="H7" s="63">
        <f>'COGS Build'!H26</f>
        <v/>
      </c>
      <c r="I7" s="63">
        <f>'COGS Build'!I26</f>
        <v/>
      </c>
      <c r="J7" s="63">
        <f>'COGS Build'!J26</f>
        <v/>
      </c>
      <c r="K7" s="63">
        <f>'COGS Build'!K26</f>
        <v/>
      </c>
      <c r="L7" s="63">
        <f>'COGS Build'!L26</f>
        <v/>
      </c>
      <c r="M7" s="63">
        <f>'COGS Build'!M26</f>
        <v/>
      </c>
      <c r="N7" s="63">
        <f>'COGS Build'!N26</f>
        <v/>
      </c>
      <c r="O7" s="59">
        <f>'COGS Build'!O26</f>
        <v/>
      </c>
      <c r="P7" s="64" t="n">
        <v>858000</v>
      </c>
      <c r="Q7" s="64" t="n">
        <v>840000</v>
      </c>
      <c r="R7" s="64" t="n">
        <v>1040000</v>
      </c>
    </row>
    <row r="8" ht="17" customHeight="1" s="130">
      <c r="A8" s="65" t="inlineStr">
        <is>
          <t>Gross Profit</t>
        </is>
      </c>
      <c r="B8" s="63">
        <f>B6-B7</f>
        <v/>
      </c>
      <c r="C8" s="63">
        <f>C6-C7</f>
        <v/>
      </c>
      <c r="D8" s="63">
        <f>D6-D7</f>
        <v/>
      </c>
      <c r="E8" s="63">
        <f>E6-E7</f>
        <v/>
      </c>
      <c r="F8" s="63">
        <f>F6-F7</f>
        <v/>
      </c>
      <c r="G8" s="63">
        <f>G6-G7</f>
        <v/>
      </c>
      <c r="H8" s="63">
        <f>H6-H7</f>
        <v/>
      </c>
      <c r="I8" s="63">
        <f>I6-I7</f>
        <v/>
      </c>
      <c r="J8" s="63">
        <f>J6-J7</f>
        <v/>
      </c>
      <c r="K8" s="63">
        <f>K6-K7</f>
        <v/>
      </c>
      <c r="L8" s="63">
        <f>L6-L7</f>
        <v/>
      </c>
      <c r="M8" s="63">
        <f>M6-M7</f>
        <v/>
      </c>
      <c r="N8" s="63">
        <f>N6-N7</f>
        <v/>
      </c>
      <c r="O8" s="59">
        <f>O6-O7</f>
        <v/>
      </c>
      <c r="P8" s="63">
        <f>P6-P7</f>
        <v/>
      </c>
      <c r="Q8" s="63">
        <f>Q6-Q7</f>
        <v/>
      </c>
      <c r="R8" s="63">
        <f>R6-R7</f>
        <v/>
      </c>
    </row>
    <row r="9" ht="17" customHeight="1" s="130">
      <c r="A9" s="65" t="inlineStr">
        <is>
          <t>Gross Margin %</t>
        </is>
      </c>
      <c r="B9" s="66">
        <f>B8/B6</f>
        <v/>
      </c>
      <c r="C9" s="66">
        <f>C8/C6</f>
        <v/>
      </c>
      <c r="D9" s="66">
        <f>D8/D6</f>
        <v/>
      </c>
      <c r="E9" s="66">
        <f>E8/E6</f>
        <v/>
      </c>
      <c r="F9" s="66">
        <f>F8/F6</f>
        <v/>
      </c>
      <c r="G9" s="66">
        <f>G8/G6</f>
        <v/>
      </c>
      <c r="H9" s="66">
        <f>H8/H6</f>
        <v/>
      </c>
      <c r="I9" s="66">
        <f>I8/I6</f>
        <v/>
      </c>
      <c r="J9" s="66">
        <f>J8/J6</f>
        <v/>
      </c>
      <c r="K9" s="66">
        <f>K8/K6</f>
        <v/>
      </c>
      <c r="L9" s="66">
        <f>L8/L6</f>
        <v/>
      </c>
      <c r="M9" s="66">
        <f>M8/M6</f>
        <v/>
      </c>
      <c r="N9" s="66">
        <f>N8/N6</f>
        <v/>
      </c>
      <c r="O9" s="67">
        <f>O8/O6</f>
        <v/>
      </c>
      <c r="P9" s="66">
        <f>P8/P6</f>
        <v/>
      </c>
      <c r="Q9" s="66">
        <f>Q8/Q6</f>
        <v/>
      </c>
      <c r="R9" s="66">
        <f>R8/R6</f>
        <v/>
      </c>
    </row>
    <row r="10" ht="6" customHeight="1" s="130"/>
    <row r="11" ht="17" customHeight="1" s="130">
      <c r="A11" s="61" t="inlineStr">
        <is>
          <t>Less: OpEx</t>
        </is>
      </c>
      <c r="B11" s="62" t="n">
        <v>7100000</v>
      </c>
      <c r="C11" s="63">
        <f>'OpEx Detail'!C23</f>
        <v/>
      </c>
      <c r="D11" s="63">
        <f>'OpEx Detail'!D23</f>
        <v/>
      </c>
      <c r="E11" s="63">
        <f>'OpEx Detail'!E23</f>
        <v/>
      </c>
      <c r="F11" s="63">
        <f>'OpEx Detail'!F23</f>
        <v/>
      </c>
      <c r="G11" s="63">
        <f>'OpEx Detail'!G23</f>
        <v/>
      </c>
      <c r="H11" s="63">
        <f>'OpEx Detail'!H23</f>
        <v/>
      </c>
      <c r="I11" s="63">
        <f>'OpEx Detail'!I23</f>
        <v/>
      </c>
      <c r="J11" s="63">
        <f>'OpEx Detail'!J23</f>
        <v/>
      </c>
      <c r="K11" s="63">
        <f>'OpEx Detail'!K23</f>
        <v/>
      </c>
      <c r="L11" s="63">
        <f>'OpEx Detail'!L23</f>
        <v/>
      </c>
      <c r="M11" s="63">
        <f>'OpEx Detail'!M23</f>
        <v/>
      </c>
      <c r="N11" s="63">
        <f>'OpEx Detail'!N23</f>
        <v/>
      </c>
      <c r="O11" s="59">
        <f>'OpEx Detail'!O23</f>
        <v/>
      </c>
      <c r="P11" s="64" t="n">
        <v>685000</v>
      </c>
      <c r="Q11" s="64" t="n">
        <v>658000</v>
      </c>
      <c r="R11" s="64" t="n">
        <v>710000</v>
      </c>
    </row>
    <row r="12" ht="17" customHeight="1" s="130">
      <c r="A12" s="65" t="inlineStr">
        <is>
          <t>Operating Profit</t>
        </is>
      </c>
      <c r="B12" s="63">
        <f>B8-B11</f>
        <v/>
      </c>
      <c r="C12" s="63">
        <f>C8-C11</f>
        <v/>
      </c>
      <c r="D12" s="63">
        <f>D8-D11</f>
        <v/>
      </c>
      <c r="E12" s="63">
        <f>E8-E11</f>
        <v/>
      </c>
      <c r="F12" s="63">
        <f>F8-F11</f>
        <v/>
      </c>
      <c r="G12" s="63">
        <f>G8-G11</f>
        <v/>
      </c>
      <c r="H12" s="63">
        <f>H8-H11</f>
        <v/>
      </c>
      <c r="I12" s="63">
        <f>I8-I11</f>
        <v/>
      </c>
      <c r="J12" s="63">
        <f>J8-J11</f>
        <v/>
      </c>
      <c r="K12" s="63">
        <f>K8-K11</f>
        <v/>
      </c>
      <c r="L12" s="63">
        <f>L8-L11</f>
        <v/>
      </c>
      <c r="M12" s="63">
        <f>M8-M11</f>
        <v/>
      </c>
      <c r="N12" s="63">
        <f>N8-N11</f>
        <v/>
      </c>
      <c r="O12" s="59">
        <f>O8-O11</f>
        <v/>
      </c>
      <c r="P12" s="63">
        <f>P8-P11</f>
        <v/>
      </c>
      <c r="Q12" s="63">
        <f>Q8-Q11</f>
        <v/>
      </c>
      <c r="R12" s="63">
        <f>R8-R11</f>
        <v/>
      </c>
    </row>
    <row r="13" ht="17" customHeight="1" s="130">
      <c r="A13" s="65" t="inlineStr">
        <is>
          <t>Operating Margin %</t>
        </is>
      </c>
      <c r="B13" s="66">
        <f>B12/B6</f>
        <v/>
      </c>
      <c r="C13" s="66">
        <f>C12/C6</f>
        <v/>
      </c>
      <c r="D13" s="66">
        <f>D12/D6</f>
        <v/>
      </c>
      <c r="E13" s="66">
        <f>E12/E6</f>
        <v/>
      </c>
      <c r="F13" s="66">
        <f>F12/F6</f>
        <v/>
      </c>
      <c r="G13" s="66">
        <f>G12/G6</f>
        <v/>
      </c>
      <c r="H13" s="66">
        <f>H12/H6</f>
        <v/>
      </c>
      <c r="I13" s="66">
        <f>I12/I6</f>
        <v/>
      </c>
      <c r="J13" s="66">
        <f>J12/J6</f>
        <v/>
      </c>
      <c r="K13" s="66">
        <f>K12/K6</f>
        <v/>
      </c>
      <c r="L13" s="66">
        <f>L12/L6</f>
        <v/>
      </c>
      <c r="M13" s="66">
        <f>M12/M6</f>
        <v/>
      </c>
      <c r="N13" s="66">
        <f>N12/N6</f>
        <v/>
      </c>
      <c r="O13" s="67">
        <f>O12/O6</f>
        <v/>
      </c>
      <c r="P13" s="66">
        <f>P12/P6</f>
        <v/>
      </c>
      <c r="Q13" s="66">
        <f>Q12/Q6</f>
        <v/>
      </c>
      <c r="R13" s="66">
        <f>R12/R6</f>
        <v/>
      </c>
    </row>
  </sheetData>
  <mergeCells count="2">
    <mergeCell ref="A2:R2"/>
    <mergeCell ref="A1:R1"/>
  </mergeCells>
  <pageMargins left="0.75" right="0.75" top="1" bottom="1" header="0.5" footer="0.5"/>
</worksheet>
</file>

<file path=xl/worksheets/sheet6.xml><?xml version="1.0" encoding="utf-8"?>
<worksheet xmlns="http://schemas.openxmlformats.org/spreadsheetml/2006/main">
  <sheetPr>
    <tabColor rgb="FFFF0000"/>
    <outlinePr summaryBelow="1" summaryRight="1"/>
    <pageSetUpPr/>
  </sheetPr>
  <dimension ref="A1:X20"/>
  <sheetViews>
    <sheetView workbookViewId="0">
      <pane xSplit="1" ySplit="6" topLeftCell="H7" activePane="bottomRight" state="frozen"/>
      <selection pane="topRight" activeCell="A1" sqref="A1"/>
      <selection pane="bottomLeft" activeCell="A1" sqref="A1"/>
      <selection pane="bottomRight" activeCell="L8" sqref="L8"/>
    </sheetView>
  </sheetViews>
  <sheetFormatPr baseColWidth="10" defaultColWidth="8.83203125" defaultRowHeight="15"/>
  <cols>
    <col width="22" customWidth="1" style="130" min="1" max="1"/>
    <col width="13" customWidth="1" style="130" min="2" max="4"/>
    <col width="10" customWidth="1" style="130" min="5" max="5"/>
    <col width="13" customWidth="1" style="130" min="6" max="6"/>
    <col width="2" customWidth="1" style="130" min="7" max="7"/>
    <col width="13" customWidth="1" style="130" min="8" max="10"/>
    <col width="10" customWidth="1" style="130" min="11" max="11"/>
    <col width="13" customWidth="1" style="130" min="12" max="12"/>
    <col width="2" customWidth="1" style="130" min="13" max="13"/>
    <col width="13" customWidth="1" style="130" min="14" max="16"/>
    <col width="10" customWidth="1" style="130" min="17" max="17"/>
    <col width="13" customWidth="1" style="130" min="18" max="18"/>
    <col width="2" customWidth="1" style="130" min="19" max="19"/>
    <col width="13" customWidth="1" style="130" min="20" max="22"/>
    <col width="10" customWidth="1" style="130" min="23" max="23"/>
    <col width="13" customWidth="1" style="130" min="24" max="24"/>
  </cols>
  <sheetData>
    <row r="1" ht="24" customHeight="1" s="130">
      <c r="A1" s="134" t="inlineStr">
        <is>
          <t>ZARA &amp; CO. — VARIANCE ANALYSIS FY2025</t>
        </is>
      </c>
    </row>
    <row r="2" ht="14" customHeight="1" s="130">
      <c r="A2" s="131" t="inlineStr">
        <is>
          <t>Actual vs Budget — Q1 YTD. $ Var = Actual − Budget. Fav/Unfav: revenue &amp; profit lines Fav if positive; cost lines Fav if negative.</t>
        </is>
      </c>
    </row>
    <row r="3" ht="14" customHeight="1" s="130">
      <c r="A3" s="68" t="inlineStr">
        <is>
          <t>Colour key:</t>
        </is>
      </c>
      <c r="B3" s="69" t="inlineStr">
        <is>
          <t xml:space="preserve">  Budget  </t>
        </is>
      </c>
      <c r="C3" s="70" t="inlineStr">
        <is>
          <t xml:space="preserve">  Actual  </t>
        </is>
      </c>
      <c r="D3" s="71" t="inlineStr">
        <is>
          <t xml:space="preserve">  Fav (green) / Unfav (red) — conditional formatting applied by Ashnad  </t>
        </is>
      </c>
    </row>
    <row r="4" ht="8" customHeight="1" s="130"/>
    <row r="5" ht="16" customHeight="1" s="130">
      <c r="B5" s="132" t="inlineStr">
        <is>
          <t>January</t>
        </is>
      </c>
      <c r="H5" s="132" t="inlineStr">
        <is>
          <t>February</t>
        </is>
      </c>
      <c r="N5" s="132" t="inlineStr">
        <is>
          <t>March</t>
        </is>
      </c>
      <c r="T5" s="133" t="inlineStr">
        <is>
          <t>Q1 Total</t>
        </is>
      </c>
    </row>
    <row r="6" ht="14" customHeight="1" s="130">
      <c r="B6" s="73" t="inlineStr">
        <is>
          <t>Budget</t>
        </is>
      </c>
      <c r="C6" s="74" t="inlineStr">
        <is>
          <t>Actual</t>
        </is>
      </c>
      <c r="D6" s="75" t="inlineStr">
        <is>
          <t>$ Variance</t>
        </is>
      </c>
      <c r="E6" s="75" t="inlineStr">
        <is>
          <t>Fav/Unfav</t>
        </is>
      </c>
      <c r="F6" s="75" t="inlineStr">
        <is>
          <t>% Variance</t>
        </is>
      </c>
      <c r="H6" s="73" t="inlineStr">
        <is>
          <t>Budget</t>
        </is>
      </c>
      <c r="I6" s="74" t="inlineStr">
        <is>
          <t>Actual</t>
        </is>
      </c>
      <c r="J6" s="75" t="inlineStr">
        <is>
          <t>$ Variance</t>
        </is>
      </c>
      <c r="K6" s="75" t="inlineStr">
        <is>
          <t>Fav/Unfav</t>
        </is>
      </c>
      <c r="L6" s="75" t="inlineStr">
        <is>
          <t>% Variance</t>
        </is>
      </c>
      <c r="N6" s="73" t="inlineStr">
        <is>
          <t>Budget</t>
        </is>
      </c>
      <c r="O6" s="74" t="inlineStr">
        <is>
          <t>Actual</t>
        </is>
      </c>
      <c r="P6" s="75" t="inlineStr">
        <is>
          <t>$ Variance</t>
        </is>
      </c>
      <c r="Q6" s="75" t="inlineStr">
        <is>
          <t>Fav/Unfav</t>
        </is>
      </c>
      <c r="R6" s="75" t="inlineStr">
        <is>
          <t>% Variance</t>
        </is>
      </c>
      <c r="T6" s="76" t="inlineStr">
        <is>
          <t>Budget</t>
        </is>
      </c>
      <c r="U6" s="76" t="inlineStr">
        <is>
          <t>Actual</t>
        </is>
      </c>
      <c r="V6" s="76" t="inlineStr">
        <is>
          <t>$ Variance</t>
        </is>
      </c>
      <c r="W6" s="76" t="inlineStr">
        <is>
          <t>Fav/Unfav</t>
        </is>
      </c>
      <c r="X6" s="76" t="inlineStr">
        <is>
          <t>% Variance</t>
        </is>
      </c>
    </row>
    <row r="7" ht="17" customHeight="1" s="130">
      <c r="A7" s="77" t="inlineStr">
        <is>
          <t>Revenue</t>
        </is>
      </c>
      <c r="B7" s="80">
        <f>'P&amp;L Summary'!C6</f>
        <v/>
      </c>
      <c r="C7" s="81">
        <f>'P&amp;L Summary'!P6</f>
        <v/>
      </c>
      <c r="D7" s="82">
        <f>C7-B7</f>
        <v/>
      </c>
      <c r="E7" s="85">
        <f>IF(D7&lt;0,"Unfav","Fav")</f>
        <v/>
      </c>
      <c r="F7" s="83">
        <f>D7/B7</f>
        <v/>
      </c>
      <c r="H7" s="80">
        <f>'P&amp;L Summary'!D6</f>
        <v/>
      </c>
      <c r="I7" s="81">
        <f>'P&amp;L Summary'!Q6</f>
        <v/>
      </c>
      <c r="J7" s="82">
        <f>I7-H7</f>
        <v/>
      </c>
      <c r="K7" s="85">
        <f>IF(J7&lt;0,"Unfav","Fav")</f>
        <v/>
      </c>
      <c r="L7" s="83">
        <f>J7/H7</f>
        <v/>
      </c>
      <c r="N7" s="80">
        <f>'P&amp;L Summary'!E6</f>
        <v/>
      </c>
      <c r="O7" s="81">
        <f>'P&amp;L Summary'!R6</f>
        <v/>
      </c>
      <c r="P7" s="82">
        <f>O7-N7</f>
        <v/>
      </c>
      <c r="Q7" s="85">
        <f>IF(P7&lt;0,"Unfav","Fav")</f>
        <v/>
      </c>
      <c r="R7" s="83">
        <f>P7/N7</f>
        <v/>
      </c>
      <c r="T7" s="78">
        <f>B7+H7+N7</f>
        <v/>
      </c>
      <c r="U7" s="78">
        <f>C7+I7+O7</f>
        <v/>
      </c>
      <c r="V7" s="78">
        <f>D7+J7+P7</f>
        <v/>
      </c>
      <c r="W7" s="133">
        <f>IF(V7&lt;0,"Unfav","Fav")</f>
        <v/>
      </c>
      <c r="X7" s="89">
        <f>V7/T7</f>
        <v/>
      </c>
    </row>
    <row r="8" ht="17" customHeight="1" s="130">
      <c r="A8" s="79" t="inlineStr">
        <is>
          <t>Less: COGS</t>
        </is>
      </c>
      <c r="B8" s="80">
        <f>'P&amp;L Summary'!C7</f>
        <v/>
      </c>
      <c r="C8" s="81">
        <f>'P&amp;L Summary'!P7</f>
        <v/>
      </c>
      <c r="D8" s="82">
        <f>C8-B8</f>
        <v/>
      </c>
      <c r="E8" s="85">
        <f>IF(D8&gt;0,"Unfav","Fav")</f>
        <v/>
      </c>
      <c r="F8" s="83">
        <f>D8/B8</f>
        <v/>
      </c>
      <c r="H8" s="80">
        <f>'P&amp;L Summary'!D7</f>
        <v/>
      </c>
      <c r="I8" s="81">
        <f>'P&amp;L Summary'!Q7</f>
        <v/>
      </c>
      <c r="J8" s="82">
        <f>I8-H8</f>
        <v/>
      </c>
      <c r="K8" s="85">
        <f>IF(J8&gt;0,"Unfav","Fav")</f>
        <v/>
      </c>
      <c r="L8" s="83">
        <f>J8/H8</f>
        <v/>
      </c>
      <c r="N8" s="80">
        <f>'P&amp;L Summary'!E7</f>
        <v/>
      </c>
      <c r="O8" s="81">
        <f>'P&amp;L Summary'!R7</f>
        <v/>
      </c>
      <c r="P8" s="82">
        <f>O8-N8</f>
        <v/>
      </c>
      <c r="Q8" s="85">
        <f>IF(P8&gt;0,"Unfav","Fav")</f>
        <v/>
      </c>
      <c r="R8" s="83">
        <f>P8/N8</f>
        <v/>
      </c>
      <c r="T8" s="78">
        <f>B8+H8+N8</f>
        <v/>
      </c>
      <c r="U8" s="78">
        <f>C8+I8+O8</f>
        <v/>
      </c>
      <c r="V8" s="78">
        <f>D8+J8+P8</f>
        <v/>
      </c>
      <c r="W8" s="133">
        <f>IF(V8&gt;0,"Unfav","Fav")</f>
        <v/>
      </c>
      <c r="X8" s="89">
        <f>V8/T8</f>
        <v/>
      </c>
    </row>
    <row r="9" ht="17" customHeight="1" s="130">
      <c r="A9" s="84" t="inlineStr">
        <is>
          <t>Gross Profit</t>
        </is>
      </c>
      <c r="B9" s="80">
        <f>'P&amp;L Summary'!C8</f>
        <v/>
      </c>
      <c r="C9" s="81">
        <f>'P&amp;L Summary'!P8</f>
        <v/>
      </c>
      <c r="D9" s="82">
        <f>C9-B9</f>
        <v/>
      </c>
      <c r="E9" s="85">
        <f>IF(D9&lt;0,"Unfav","Fav")</f>
        <v/>
      </c>
      <c r="F9" s="83">
        <f>D9/B9</f>
        <v/>
      </c>
      <c r="H9" s="80">
        <f>'P&amp;L Summary'!D8</f>
        <v/>
      </c>
      <c r="I9" s="81">
        <f>'P&amp;L Summary'!Q8</f>
        <v/>
      </c>
      <c r="J9" s="82">
        <f>I9-H9</f>
        <v/>
      </c>
      <c r="K9" s="85">
        <f>IF(J9&lt;0,"Unfav","Fav")</f>
        <v/>
      </c>
      <c r="L9" s="83">
        <f>J9/H9</f>
        <v/>
      </c>
      <c r="N9" s="80">
        <f>'P&amp;L Summary'!E8</f>
        <v/>
      </c>
      <c r="O9" s="81">
        <f>'P&amp;L Summary'!R8</f>
        <v/>
      </c>
      <c r="P9" s="82">
        <f>O9-N9</f>
        <v/>
      </c>
      <c r="Q9" s="85">
        <f>IF(P9&lt;0,"Unfav","Fav")</f>
        <v/>
      </c>
      <c r="R9" s="83">
        <f>P9/N9</f>
        <v/>
      </c>
      <c r="T9" s="78">
        <f>B9+H9+N9</f>
        <v/>
      </c>
      <c r="U9" s="78">
        <f>C9+I9+O9</f>
        <v/>
      </c>
      <c r="V9" s="78">
        <f>D9+J9+P9</f>
        <v/>
      </c>
      <c r="W9" s="133">
        <f>IF(V9&lt;0,"Unfav","Fav")</f>
        <v/>
      </c>
      <c r="X9" s="89">
        <f>V9/T9</f>
        <v/>
      </c>
    </row>
    <row r="10" ht="17" customHeight="1" s="130">
      <c r="A10" s="84" t="inlineStr">
        <is>
          <t>Gross Margin %</t>
        </is>
      </c>
      <c r="B10" s="86">
        <f>'P&amp;L Summary'!C9</f>
        <v/>
      </c>
      <c r="C10" s="87">
        <f>'P&amp;L Summary'!P9</f>
        <v/>
      </c>
      <c r="D10" s="88">
        <f>C10-B10</f>
        <v/>
      </c>
      <c r="E10" s="85">
        <f>IF(D10&lt;0,"Unfav","Fav")</f>
        <v/>
      </c>
      <c r="F10" s="83" t="n"/>
      <c r="H10" s="86">
        <f>'P&amp;L Summary'!D9</f>
        <v/>
      </c>
      <c r="I10" s="87">
        <f>'P&amp;L Summary'!Q9</f>
        <v/>
      </c>
      <c r="J10" s="88">
        <f>I10-H10</f>
        <v/>
      </c>
      <c r="K10" s="85">
        <f>IF(J10&lt;0,"Unfav","Fav")</f>
        <v/>
      </c>
      <c r="L10" s="83" t="n"/>
      <c r="N10" s="86">
        <f>'P&amp;L Summary'!E9</f>
        <v/>
      </c>
      <c r="O10" s="87">
        <f>'P&amp;L Summary'!R9</f>
        <v/>
      </c>
      <c r="P10" s="88">
        <f>O10-N10</f>
        <v/>
      </c>
      <c r="Q10" s="85">
        <f>IF(P10&lt;0,"Unfav","Fav")</f>
        <v/>
      </c>
      <c r="R10" s="83" t="n"/>
      <c r="T10" s="89">
        <f>T9/T7</f>
        <v/>
      </c>
      <c r="U10" s="89">
        <f>U9/U7</f>
        <v/>
      </c>
      <c r="V10" s="89">
        <f>U10-T10</f>
        <v/>
      </c>
      <c r="W10" s="133">
        <f>IF(V10&lt;0,"Unfav","Fav")</f>
        <v/>
      </c>
      <c r="X10" s="89" t="n"/>
    </row>
    <row r="11" ht="6" customHeight="1" s="130"/>
    <row r="12" ht="17" customHeight="1" s="130">
      <c r="A12" s="79" t="inlineStr">
        <is>
          <t>Less: OpEx</t>
        </is>
      </c>
      <c r="B12" s="80">
        <f>'P&amp;L Summary'!C11</f>
        <v/>
      </c>
      <c r="C12" s="81">
        <f>'P&amp;L Summary'!P11</f>
        <v/>
      </c>
      <c r="D12" s="82">
        <f>C12-B12</f>
        <v/>
      </c>
      <c r="E12" s="85">
        <f>IF(D12&gt;0,"Unfav","Fav")</f>
        <v/>
      </c>
      <c r="F12" s="83">
        <f>D12/B12</f>
        <v/>
      </c>
      <c r="H12" s="80">
        <f>'P&amp;L Summary'!D11</f>
        <v/>
      </c>
      <c r="I12" s="81">
        <f>'P&amp;L Summary'!Q11</f>
        <v/>
      </c>
      <c r="J12" s="82">
        <f>I12-H12</f>
        <v/>
      </c>
      <c r="K12" s="85">
        <f>IF(J12&gt;0,"Unfav","Fav")</f>
        <v/>
      </c>
      <c r="L12" s="88">
        <f>J12/H12</f>
        <v/>
      </c>
      <c r="N12" s="80">
        <f>'P&amp;L Summary'!E11</f>
        <v/>
      </c>
      <c r="O12" s="81">
        <f>'P&amp;L Summary'!R11</f>
        <v/>
      </c>
      <c r="P12" s="82">
        <f>O12-N12</f>
        <v/>
      </c>
      <c r="Q12" s="85">
        <f>IF(P12&gt;0,"Unfav","Fav")</f>
        <v/>
      </c>
      <c r="R12" s="83">
        <f>P12/N12</f>
        <v/>
      </c>
      <c r="T12" s="78">
        <f>B12+H12+N12</f>
        <v/>
      </c>
      <c r="U12" s="78">
        <f>C12+I12+O12</f>
        <v/>
      </c>
      <c r="V12" s="78">
        <f>D12+J12+P12</f>
        <v/>
      </c>
      <c r="W12" s="90">
        <f>IF(V12&gt;0,"Unfav","Fav")</f>
        <v/>
      </c>
      <c r="X12" s="89">
        <f>V12/T12</f>
        <v/>
      </c>
    </row>
    <row r="13" ht="17" customHeight="1" s="130">
      <c r="A13" s="84" t="inlineStr">
        <is>
          <t>Operating Profit</t>
        </is>
      </c>
      <c r="B13" s="80">
        <f>'P&amp;L Summary'!C12</f>
        <v/>
      </c>
      <c r="C13" s="81">
        <f>'P&amp;L Summary'!P12</f>
        <v/>
      </c>
      <c r="D13" s="82">
        <f>C13-B13</f>
        <v/>
      </c>
      <c r="E13" s="85">
        <f>IF(D13&lt;0,"Unfav","Fav")</f>
        <v/>
      </c>
      <c r="F13" s="83">
        <f>D13/B13</f>
        <v/>
      </c>
      <c r="H13" s="80">
        <f>'P&amp;L Summary'!D12</f>
        <v/>
      </c>
      <c r="I13" s="81">
        <f>'P&amp;L Summary'!Q12</f>
        <v/>
      </c>
      <c r="J13" s="82">
        <f>I13-H13</f>
        <v/>
      </c>
      <c r="K13" s="85">
        <f>IF(J13&lt;0,"Unfav","Fav")</f>
        <v/>
      </c>
      <c r="L13" s="83">
        <f>J13/H13</f>
        <v/>
      </c>
      <c r="N13" s="80">
        <f>'P&amp;L Summary'!E12</f>
        <v/>
      </c>
      <c r="O13" s="81">
        <f>'P&amp;L Summary'!R12</f>
        <v/>
      </c>
      <c r="P13" s="82">
        <f>O13-N13</f>
        <v/>
      </c>
      <c r="Q13" s="85">
        <f>IF(P13&lt;0,"Unfav","Fav")</f>
        <v/>
      </c>
      <c r="R13" s="83">
        <f>P13/N13</f>
        <v/>
      </c>
      <c r="T13" s="78">
        <f>B13+H13+N13</f>
        <v/>
      </c>
      <c r="U13" s="78">
        <f>C13+I13+O13</f>
        <v/>
      </c>
      <c r="V13" s="78">
        <f>D13+J13+P13</f>
        <v/>
      </c>
      <c r="W13" s="90">
        <f>IF(V13&lt;0,"Unfav","Fav")</f>
        <v/>
      </c>
      <c r="X13" s="89">
        <f>V13/T13</f>
        <v/>
      </c>
    </row>
    <row r="14" ht="17" customHeight="1" s="130">
      <c r="A14" s="84" t="inlineStr">
        <is>
          <t>Operating Margin %</t>
        </is>
      </c>
      <c r="B14" s="86">
        <f>'P&amp;L Summary'!C13</f>
        <v/>
      </c>
      <c r="C14" s="87">
        <f>'P&amp;L Summary'!P13</f>
        <v/>
      </c>
      <c r="D14" s="88">
        <f>C14-B14</f>
        <v/>
      </c>
      <c r="E14" s="85">
        <f>IF(D14&lt;0,"Unfav","Fav")</f>
        <v/>
      </c>
      <c r="F14" s="83" t="n"/>
      <c r="H14" s="86">
        <f>'P&amp;L Summary'!D13</f>
        <v/>
      </c>
      <c r="I14" s="87">
        <f>'P&amp;L Summary'!Q13</f>
        <v/>
      </c>
      <c r="J14" s="88">
        <f>I14-H14</f>
        <v/>
      </c>
      <c r="K14" s="85">
        <f>IF(J14&lt;0,"Unfav","Fav")</f>
        <v/>
      </c>
      <c r="L14" s="83" t="n"/>
      <c r="N14" s="86">
        <f>'P&amp;L Summary'!E13</f>
        <v/>
      </c>
      <c r="O14" s="87">
        <f>'P&amp;L Summary'!R13</f>
        <v/>
      </c>
      <c r="P14" s="88">
        <f>O14-N14</f>
        <v/>
      </c>
      <c r="Q14" s="85">
        <f>IF(P14&lt;0,"Unfav","Fav")</f>
        <v/>
      </c>
      <c r="R14" s="83" t="n"/>
      <c r="T14" s="89">
        <f>T13/T7</f>
        <v/>
      </c>
      <c r="U14" s="89">
        <f>U13/U7</f>
        <v/>
      </c>
      <c r="V14" s="89">
        <f>U14-T14</f>
        <v/>
      </c>
      <c r="W14" s="133">
        <f>IF(V14&lt;0,"Unfav","Fav")</f>
        <v/>
      </c>
      <c r="X14" s="89" t="n"/>
    </row>
    <row r="16" ht="8" customHeight="1" s="130"/>
    <row r="17" ht="18" customHeight="1" s="130">
      <c r="A17" s="135" t="inlineStr">
        <is>
          <t>MANAGEMENT COMMENTARY — Q1 FY2025</t>
        </is>
      </c>
    </row>
    <row r="18" ht="14" customHeight="1" s="130">
      <c r="A18" s="131" t="inlineStr">
        <is>
          <t>2 paragraphs: (1) Revenue &amp; Gross Profit drivers  (2) OpEx &amp; Operating Profit drivers. Name specific months and AED amounts.</t>
        </is>
      </c>
    </row>
    <row r="19" ht="50" customHeight="1" s="130">
      <c r="A19" s="129" t="inlineStr">
        <is>
          <t xml:space="preserve">Paragraph 1 — Revenue &amp; Gross Profit:  
Revenue came in at AED 1.90M against a January budget of AED 1.98M, a shortfall of AED 78K (-3.9%). Performance recovered through the quarter — February missed by AED 24K (-1.2%) and March delivered a small beat of AED 20K (+0.9%), supported by Ramadan uplift. COGS came in AED 29K below budget in January as lower volumes reduced input costs, but gross profit still missed by AED 49K as the revenue shortfall was not fully offset. </t>
        </is>
      </c>
    </row>
    <row r="20" ht="50" customHeight="1" s="130">
      <c r="A20" s="129" t="inlineStr">
        <is>
          <t>Paragraph 2 — OpEx &amp; Operating Profit:
Operating Profit fell short by AED 141K (-10.1%) for the quarter, driven by two factors: a cumulative gross profit miss of AED 74K and an OpEx overspend of AED 70K (+3.4%). Marketing costs ran above plan in all three months, with March showing the largest deviation at AED 43K above budget. The combined effect compressed operating margin by 200 basis points (2.0pp) versus budget.</t>
        </is>
      </c>
    </row>
  </sheetData>
  <mergeCells count="10">
    <mergeCell ref="A20:X20"/>
    <mergeCell ref="A2:X2"/>
    <mergeCell ref="B5:F5"/>
    <mergeCell ref="T5:X5"/>
    <mergeCell ref="A19:X19"/>
    <mergeCell ref="A1:X1"/>
    <mergeCell ref="H5:L5"/>
    <mergeCell ref="N5:R5"/>
    <mergeCell ref="A17:X17"/>
    <mergeCell ref="A18:X18"/>
  </mergeCells>
  <conditionalFormatting sqref="E7:E10 E12:E14">
    <cfRule type="containsText" priority="12" operator="containsText" dxfId="0" text="Fav">
      <formula>NOT(ISERROR(SEARCH("Fav",E7)))</formula>
    </cfRule>
  </conditionalFormatting>
  <conditionalFormatting sqref="E7:E10 E12:E14 K7:K10 K12:K14 Q7:Q10 Q12:Q14 W7:W10 W12:W14">
    <cfRule type="expression" priority="2" dxfId="1">
      <formula>XEQ2="Unfav"</formula>
    </cfRule>
    <cfRule type="expression" priority="3" dxfId="0">
      <formula>XEQ2="Fav"</formula>
    </cfRule>
  </conditionalFormatting>
  <conditionalFormatting sqref="E7:E14">
    <cfRule type="containsText" priority="11" operator="containsText" dxfId="1" text="Unfav">
      <formula>NOT(ISERROR(SEARCH("Unfav",E7)))</formula>
    </cfRule>
  </conditionalFormatting>
  <conditionalFormatting sqref="K7">
    <cfRule type="containsText" priority="10" operator="containsText" dxfId="0" text="Fav">
      <formula>NOT(ISERROR(SEARCH("Fav",K7)))</formula>
    </cfRule>
  </conditionalFormatting>
  <conditionalFormatting sqref="K7:K10 K12:K14">
    <cfRule type="containsText" priority="8" operator="containsText" dxfId="1" text="Unfav">
      <formula>NOT(ISERROR(SEARCH("Unfav",K7)))</formula>
    </cfRule>
  </conditionalFormatting>
  <conditionalFormatting sqref="K8:K10 K12:K14">
    <cfRule type="containsText" priority="9" operator="containsText" dxfId="0" stopIfTrue="1" text="Fav">
      <formula>NOT(ISERROR(SEARCH("Fav",K8)))</formula>
    </cfRule>
  </conditionalFormatting>
  <conditionalFormatting sqref="Q7:Q10 Q12:Q14 W7:W10 W12:W14">
    <cfRule type="containsText" priority="4" operator="containsText" dxfId="1" text="Unfav">
      <formula>NOT(ISERROR(SEARCH("Unfav",Q7)))</formula>
    </cfRule>
    <cfRule type="containsText" priority="5" operator="containsText" dxfId="0" text="Fav">
      <formula>NOT(ISERROR(SEARCH("Fav",Q7)))</formula>
    </cfRule>
  </conditionalFormatting>
  <conditionalFormatting sqref="W13">
    <cfRule type="expression" priority="1" dxfId="1">
      <formula>$W$13="Unfav"</formula>
    </cfRule>
  </conditionalFormatting>
  <pageMargins left="0.75" right="0.75" top="1" bottom="1" header="0.5" footer="0.5"/>
</worksheet>
</file>

<file path=xl/worksheets/sheet7.xml><?xml version="1.0" encoding="utf-8"?>
<worksheet xmlns="http://schemas.openxmlformats.org/spreadsheetml/2006/main">
  <sheetPr>
    <tabColor rgb="FF7030A0"/>
    <outlinePr summaryBelow="1" summaryRight="1"/>
    <pageSetUpPr/>
  </sheetPr>
  <dimension ref="A1:N14"/>
  <sheetViews>
    <sheetView workbookViewId="0">
      <pane xSplit="1" ySplit="6" topLeftCell="B7" activePane="bottomRight" state="frozen"/>
      <selection pane="topRight" activeCell="A1" sqref="A1"/>
      <selection pane="bottomLeft" activeCell="A1" sqref="A1"/>
      <selection pane="bottomRight" activeCell="N21" sqref="N21"/>
    </sheetView>
  </sheetViews>
  <sheetFormatPr baseColWidth="10" defaultColWidth="8.83203125" defaultRowHeight="15"/>
  <cols>
    <col width="24" customWidth="1" style="130" min="1" max="1"/>
    <col width="13" customWidth="1" style="130" min="2" max="13"/>
    <col width="14" customWidth="1" style="130" min="14" max="14"/>
  </cols>
  <sheetData>
    <row r="1" ht="24" customHeight="1" s="130">
      <c r="A1" s="152" t="inlineStr">
        <is>
          <t>ZARA &amp; CO. — ROLLING FORECAST FY2025</t>
        </is>
      </c>
    </row>
    <row r="2" ht="28" customHeight="1" s="130">
      <c r="A2" s="151" t="inlineStr">
        <is>
          <t>Q1 actuals locked (Jan-Mar hardcoded). Apr-Dec = link from Revenue Build / COGS Build / OpEx Detail. FY Total = SUM of all 12 months. GP, EBITDA, margins = derived formulas.</t>
        </is>
      </c>
    </row>
    <row r="3" ht="14" customHeight="1" s="130">
      <c r="A3" s="91" t="inlineStr">
        <is>
          <t>Colour key:</t>
        </is>
      </c>
      <c r="B3" s="92" t="inlineStr">
        <is>
          <t xml:space="preserve">  Actual — locked  </t>
        </is>
      </c>
      <c r="C3" s="93" t="inlineStr">
        <is>
          <t xml:space="preserve">  Forecast (formula)  </t>
        </is>
      </c>
      <c r="E3" s="94" t="inlineStr">
        <is>
          <t xml:space="preserve">  FY Total  </t>
        </is>
      </c>
    </row>
    <row r="4" ht="8" customHeight="1" s="130"/>
    <row r="5" ht="20" customHeight="1" s="130">
      <c r="A5" s="95" t="inlineStr">
        <is>
          <t>Line Item</t>
        </is>
      </c>
      <c r="B5" s="96" t="inlineStr">
        <is>
          <t>Jan Actual</t>
        </is>
      </c>
      <c r="C5" s="96" t="inlineStr">
        <is>
          <t>Feb Actual</t>
        </is>
      </c>
      <c r="D5" s="96" t="inlineStr">
        <is>
          <t>Mar Actual</t>
        </is>
      </c>
      <c r="E5" s="97" t="inlineStr">
        <is>
          <t>Apr Fcst</t>
        </is>
      </c>
      <c r="F5" s="97" t="inlineStr">
        <is>
          <t>May Fcst</t>
        </is>
      </c>
      <c r="G5" s="97" t="inlineStr">
        <is>
          <t>Jun Fcst</t>
        </is>
      </c>
      <c r="H5" s="97" t="inlineStr">
        <is>
          <t>Jul Fcst</t>
        </is>
      </c>
      <c r="I5" s="97" t="inlineStr">
        <is>
          <t>Aug Fcst</t>
        </is>
      </c>
      <c r="J5" s="97" t="inlineStr">
        <is>
          <t>Sep Fcst</t>
        </is>
      </c>
      <c r="K5" s="97" t="inlineStr">
        <is>
          <t>Oct Fcst</t>
        </is>
      </c>
      <c r="L5" s="97" t="inlineStr">
        <is>
          <t>Nov Fcst</t>
        </is>
      </c>
      <c r="M5" s="97" t="inlineStr">
        <is>
          <t>Dec Fcst</t>
        </is>
      </c>
      <c r="N5" s="98" t="inlineStr">
        <is>
          <t>FY2025 Total</t>
        </is>
      </c>
    </row>
    <row r="6" ht="20" customHeight="1" s="130">
      <c r="E6" s="150" t="inlineStr">
        <is>
          <t>Apr-Dec: link from Revenue Build row 39 / COGS Build row 26 / OpEx Detail row 23  |  Col N: =SUM(B7:M7) for each row</t>
        </is>
      </c>
    </row>
    <row r="7" ht="17" customHeight="1" s="130">
      <c r="A7" s="99" t="inlineStr">
        <is>
          <t>Revenue</t>
        </is>
      </c>
      <c r="B7" s="100" t="n">
        <v>1900000</v>
      </c>
      <c r="C7" s="100" t="n">
        <v>1860000</v>
      </c>
      <c r="D7" s="100" t="n">
        <v>2280000</v>
      </c>
      <c r="E7" s="101">
        <f>'Revenue Build'!F39</f>
        <v/>
      </c>
      <c r="F7" s="101">
        <f>'Revenue Build'!G39</f>
        <v/>
      </c>
      <c r="G7" s="101">
        <f>'Revenue Build'!H39</f>
        <v/>
      </c>
      <c r="H7" s="101">
        <f>'Revenue Build'!I39</f>
        <v/>
      </c>
      <c r="I7" s="101">
        <f>'Revenue Build'!J39</f>
        <v/>
      </c>
      <c r="J7" s="101">
        <f>'Revenue Build'!K39</f>
        <v/>
      </c>
      <c r="K7" s="101">
        <f>'Revenue Build'!L39</f>
        <v/>
      </c>
      <c r="L7" s="101">
        <f>'Revenue Build'!M39</f>
        <v/>
      </c>
      <c r="M7" s="101">
        <f>'Revenue Build'!N39</f>
        <v/>
      </c>
      <c r="N7" s="102">
        <f>SUM(B7:M7)</f>
        <v/>
      </c>
    </row>
    <row r="8" ht="17" customHeight="1" s="130">
      <c r="A8" s="103" t="inlineStr">
        <is>
          <t>Less: COGS</t>
        </is>
      </c>
      <c r="B8" s="104" t="n">
        <v>858000</v>
      </c>
      <c r="C8" s="104" t="n">
        <v>840000</v>
      </c>
      <c r="D8" s="104" t="n">
        <v>1040000</v>
      </c>
      <c r="E8" s="105">
        <f>'COGS Build'!F26</f>
        <v/>
      </c>
      <c r="F8" s="105">
        <f>'COGS Build'!G26</f>
        <v/>
      </c>
      <c r="G8" s="105">
        <f>'COGS Build'!H26</f>
        <v/>
      </c>
      <c r="H8" s="105">
        <f>'COGS Build'!I26</f>
        <v/>
      </c>
      <c r="I8" s="105">
        <f>'COGS Build'!J26</f>
        <v/>
      </c>
      <c r="J8" s="105">
        <f>'COGS Build'!K26</f>
        <v/>
      </c>
      <c r="K8" s="105">
        <f>'COGS Build'!L26</f>
        <v/>
      </c>
      <c r="L8" s="105">
        <f>'COGS Build'!M26</f>
        <v/>
      </c>
      <c r="M8" s="105">
        <f>'COGS Build'!N26</f>
        <v/>
      </c>
      <c r="N8" s="102">
        <f>SUM(B8:M8)</f>
        <v/>
      </c>
    </row>
    <row r="9" ht="17" customHeight="1" s="130">
      <c r="A9" s="106" t="inlineStr">
        <is>
          <t>Gross Profit</t>
        </is>
      </c>
      <c r="B9" s="101">
        <f>B7-B8</f>
        <v/>
      </c>
      <c r="C9" s="101">
        <f>C7-C8</f>
        <v/>
      </c>
      <c r="D9" s="101">
        <f>D7-D8</f>
        <v/>
      </c>
      <c r="E9" s="101">
        <f>E7-E8</f>
        <v/>
      </c>
      <c r="F9" s="101">
        <f>F7-F8</f>
        <v/>
      </c>
      <c r="G9" s="101">
        <f>G7-G8</f>
        <v/>
      </c>
      <c r="H9" s="101">
        <f>H7-H8</f>
        <v/>
      </c>
      <c r="I9" s="101">
        <f>I7-I8</f>
        <v/>
      </c>
      <c r="J9" s="101">
        <f>J7-J8</f>
        <v/>
      </c>
      <c r="K9" s="101">
        <f>K7-K8</f>
        <v/>
      </c>
      <c r="L9" s="101">
        <f>L7-L8</f>
        <v/>
      </c>
      <c r="M9" s="101">
        <f>M7-M8</f>
        <v/>
      </c>
      <c r="N9" s="102">
        <f>SUM(B9:M9)</f>
        <v/>
      </c>
    </row>
    <row r="10" ht="17" customHeight="1" s="130">
      <c r="A10" s="106" t="inlineStr">
        <is>
          <t>Gross Margin %</t>
        </is>
      </c>
      <c r="B10" s="107">
        <f>B9/B7</f>
        <v/>
      </c>
      <c r="C10" s="107">
        <f>C9/C7</f>
        <v/>
      </c>
      <c r="D10" s="107">
        <f>D9/D7</f>
        <v/>
      </c>
      <c r="E10" s="107">
        <f>E9/E7</f>
        <v/>
      </c>
      <c r="F10" s="107">
        <f>F9/F7</f>
        <v/>
      </c>
      <c r="G10" s="107">
        <f>G9/G7</f>
        <v/>
      </c>
      <c r="H10" s="107">
        <f>H9/H7</f>
        <v/>
      </c>
      <c r="I10" s="107">
        <f>I9/I7</f>
        <v/>
      </c>
      <c r="J10" s="107">
        <f>J9/J7</f>
        <v/>
      </c>
      <c r="K10" s="107">
        <f>K9/K7</f>
        <v/>
      </c>
      <c r="L10" s="107">
        <f>L9/L7</f>
        <v/>
      </c>
      <c r="M10" s="107">
        <f>M9/M7</f>
        <v/>
      </c>
      <c r="N10" s="155">
        <f>N9/N7</f>
        <v/>
      </c>
    </row>
    <row r="11" ht="6" customHeight="1" s="130"/>
    <row r="12" ht="17" customHeight="1" s="130">
      <c r="A12" s="103" t="inlineStr">
        <is>
          <t>Less: OpEx</t>
        </is>
      </c>
      <c r="B12" s="104" t="n">
        <v>685000</v>
      </c>
      <c r="C12" s="104" t="n">
        <v>658000</v>
      </c>
      <c r="D12" s="104" t="n">
        <v>710000</v>
      </c>
      <c r="E12" s="105">
        <f>'OpEx Detail'!F23</f>
        <v/>
      </c>
      <c r="F12" s="105">
        <f>'OpEx Detail'!G23</f>
        <v/>
      </c>
      <c r="G12" s="105">
        <f>'OpEx Detail'!H23</f>
        <v/>
      </c>
      <c r="H12" s="105">
        <f>'OpEx Detail'!I23</f>
        <v/>
      </c>
      <c r="I12" s="105">
        <f>'OpEx Detail'!J23</f>
        <v/>
      </c>
      <c r="J12" s="105">
        <f>'OpEx Detail'!K23</f>
        <v/>
      </c>
      <c r="K12" s="105">
        <f>'OpEx Detail'!L23</f>
        <v/>
      </c>
      <c r="L12" s="105">
        <f>'OpEx Detail'!M23</f>
        <v/>
      </c>
      <c r="M12" s="105">
        <f>'OpEx Detail'!N23</f>
        <v/>
      </c>
      <c r="N12" s="102">
        <f>SUM(B12:M12)</f>
        <v/>
      </c>
    </row>
    <row r="13" ht="17" customHeight="1" s="130">
      <c r="A13" s="106" t="inlineStr">
        <is>
          <t>Operating Profit</t>
        </is>
      </c>
      <c r="B13" s="101">
        <f>B9-B12</f>
        <v/>
      </c>
      <c r="C13" s="101">
        <f>C9-C12</f>
        <v/>
      </c>
      <c r="D13" s="101">
        <f>D9-D12</f>
        <v/>
      </c>
      <c r="E13" s="101">
        <f>E9-E12</f>
        <v/>
      </c>
      <c r="F13" s="101">
        <f>F9-F12</f>
        <v/>
      </c>
      <c r="G13" s="101">
        <f>G9-G12</f>
        <v/>
      </c>
      <c r="H13" s="101">
        <f>H9-H12</f>
        <v/>
      </c>
      <c r="I13" s="101">
        <f>I9-I12</f>
        <v/>
      </c>
      <c r="J13" s="101">
        <f>J9-J12</f>
        <v/>
      </c>
      <c r="K13" s="101">
        <f>K9-K12</f>
        <v/>
      </c>
      <c r="L13" s="101">
        <f>L9-L12</f>
        <v/>
      </c>
      <c r="M13" s="101">
        <f>M9-M12</f>
        <v/>
      </c>
      <c r="N13" s="102">
        <f>SUM(B13:M13)</f>
        <v/>
      </c>
    </row>
    <row r="14" ht="17" customHeight="1" s="130">
      <c r="A14" s="106" t="inlineStr">
        <is>
          <t>Operating Margin %</t>
        </is>
      </c>
      <c r="B14" s="107">
        <f>B13/B7</f>
        <v/>
      </c>
      <c r="C14" s="107">
        <f>C13/C7</f>
        <v/>
      </c>
      <c r="D14" s="107">
        <f>D13/D7</f>
        <v/>
      </c>
      <c r="E14" s="107">
        <f>E13/E7</f>
        <v/>
      </c>
      <c r="F14" s="107">
        <f>F13/F7</f>
        <v/>
      </c>
      <c r="G14" s="107">
        <f>G13/G7</f>
        <v/>
      </c>
      <c r="H14" s="107">
        <f>H13/H7</f>
        <v/>
      </c>
      <c r="I14" s="107">
        <f>I13/I7</f>
        <v/>
      </c>
      <c r="J14" s="107">
        <f>J13/J7</f>
        <v/>
      </c>
      <c r="K14" s="107">
        <f>K13/K7</f>
        <v/>
      </c>
      <c r="L14" s="107">
        <f>L13/L7</f>
        <v/>
      </c>
      <c r="M14" s="107">
        <f>M13/M7</f>
        <v/>
      </c>
      <c r="N14" s="108">
        <f>N13/N7</f>
        <v/>
      </c>
    </row>
  </sheetData>
  <mergeCells count="3">
    <mergeCell ref="E6:N6"/>
    <mergeCell ref="A2:N2"/>
    <mergeCell ref="A1:N1"/>
  </mergeCells>
  <pageMargins left="0.75" right="0.75" top="1" bottom="1" header="0.5" footer="0.5"/>
</worksheet>
</file>

<file path=xl/worksheets/sheet8.xml><?xml version="1.0" encoding="utf-8"?>
<worksheet xmlns="http://schemas.openxmlformats.org/spreadsheetml/2006/main">
  <sheetPr>
    <tabColor rgb="FFED7D31"/>
    <outlinePr summaryBelow="1" summaryRight="1"/>
    <pageSetUpPr/>
  </sheetPr>
  <dimension ref="A1:G21"/>
  <sheetViews>
    <sheetView workbookViewId="0">
      <pane xSplit="1" ySplit="13" topLeftCell="B14" activePane="bottomRight" state="frozen"/>
      <selection pane="topRight" activeCell="A1" sqref="A1"/>
      <selection pane="bottomLeft" activeCell="A1" sqref="A1"/>
      <selection pane="bottomRight" activeCell="C16" sqref="C16"/>
    </sheetView>
  </sheetViews>
  <sheetFormatPr baseColWidth="10" defaultColWidth="8.83203125" defaultRowHeight="15"/>
  <cols>
    <col width="30" customWidth="1" style="130" min="1" max="1"/>
    <col width="18" customWidth="1" style="130" min="2" max="4"/>
    <col width="3" customWidth="1" style="130" min="5" max="5"/>
    <col width="18" customWidth="1" style="130" min="6" max="7"/>
  </cols>
  <sheetData>
    <row r="1" ht="24" customHeight="1" s="130">
      <c r="A1" s="152" t="inlineStr">
        <is>
          <t>ZARA &amp; CO. — SCENARIO ANALYSIS FY2025</t>
        </is>
      </c>
    </row>
    <row r="2" ht="28" customHeight="1" s="130">
      <c r="A2" s="151" t="inlineStr">
        <is>
          <t>Base = budget assumptions linked from model. Bull = optimistic inputs. Bear = conservative inputs. P&amp;L output in Section 2 recalculates automatically when you change Section 1 inputs.</t>
        </is>
      </c>
    </row>
    <row r="3" ht="8" customHeight="1" s="130"/>
    <row r="4" ht="18" customHeight="1" s="130">
      <c r="A4" s="153" t="inlineStr">
        <is>
          <t>SECTION 1 — ASSUMPTIONS</t>
        </is>
      </c>
    </row>
    <row r="5" ht="16" customHeight="1" s="130">
      <c r="A5" s="95" t="inlineStr">
        <is>
          <t>Assumption</t>
        </is>
      </c>
      <c r="B5" s="109" t="inlineStr">
        <is>
          <t>Base Case</t>
        </is>
      </c>
      <c r="C5" s="110" t="inlineStr">
        <is>
          <t>Bull Case</t>
        </is>
      </c>
      <c r="D5" s="111" t="inlineStr">
        <is>
          <t>Bear Case</t>
        </is>
      </c>
    </row>
    <row r="6" ht="17" customHeight="1" s="130">
      <c r="A6" s="103" t="inlineStr">
        <is>
          <t>Full-Year Revenue (AED)</t>
        </is>
      </c>
      <c r="B6" s="112">
        <f>'P&amp;L Summary'!O6</f>
        <v/>
      </c>
      <c r="C6" s="105">
        <f>$B$6+($B$6*C7)</f>
        <v/>
      </c>
      <c r="D6" s="113">
        <f>$B$6+($B$6*D7)</f>
        <v/>
      </c>
      <c r="F6" s="150" t="inlineStr">
        <is>
          <t>Link from P&amp;L Summary col O, row 6</t>
        </is>
      </c>
    </row>
    <row r="7" ht="17" customHeight="1" s="130">
      <c r="A7" s="103" t="inlineStr">
        <is>
          <t>Revenue Growth % vs Budget</t>
        </is>
      </c>
      <c r="B7" s="114" t="n">
        <v>0</v>
      </c>
      <c r="C7" s="115" t="n">
        <v>0.05</v>
      </c>
      <c r="D7" s="116" t="n">
        <v>-0.05</v>
      </c>
      <c r="F7" s="150" t="inlineStr">
        <is>
          <t>Base = 0%. Bull/Bear: type the growth adjustment.</t>
        </is>
      </c>
    </row>
    <row r="8" ht="17" customHeight="1" s="130">
      <c r="A8" s="103" t="inlineStr">
        <is>
          <t>Blended COGS % of Revenue</t>
        </is>
      </c>
      <c r="B8" s="114">
        <f>'P&amp;L Summary'!O7/'P&amp;L Summary'!O6</f>
        <v/>
      </c>
      <c r="C8" s="115" t="n">
        <v>0.42</v>
      </c>
      <c r="D8" s="116" t="n">
        <v>0.47</v>
      </c>
      <c r="F8" s="150" t="inlineStr">
        <is>
          <t>Base: derive from model. Bull = lower %, Bear = higher %.</t>
        </is>
      </c>
    </row>
    <row r="9" ht="17" customHeight="1" s="130">
      <c r="A9" s="103" t="inlineStr">
        <is>
          <t>Full-Year OpEx (AED)</t>
        </is>
      </c>
      <c r="B9" s="112">
        <f>'P&amp;L Summary'!O11</f>
        <v/>
      </c>
      <c r="C9" s="105">
        <f>$B$9+($B$9*C10)</f>
        <v/>
      </c>
      <c r="D9" s="113">
        <f>$B$9+($B$9*D10)</f>
        <v/>
      </c>
      <c r="F9" s="150" t="inlineStr">
        <is>
          <t>Link from P&amp;L Summary col O, row 11</t>
        </is>
      </c>
    </row>
    <row r="10" ht="17" customHeight="1" s="130">
      <c r="A10" s="103" t="inlineStr">
        <is>
          <t>OpEx Growth % vs Budget</t>
        </is>
      </c>
      <c r="B10" s="114" t="n">
        <v>0</v>
      </c>
      <c r="C10" s="115" t="n">
        <v>-0.02</v>
      </c>
      <c r="D10" s="116" t="n">
        <v>0.05</v>
      </c>
      <c r="F10" s="150" t="inlineStr">
        <is>
          <t>Base = 0%. Bull = cost savings. Bear = overspend.</t>
        </is>
      </c>
    </row>
    <row r="11" ht="8" customHeight="1" s="130"/>
    <row r="12" ht="18" customHeight="1" s="130">
      <c r="A12" s="153" t="inlineStr">
        <is>
          <t>SECTION 2 — P&amp;L OUTPUT (formula-driven from Section 1)</t>
        </is>
      </c>
    </row>
    <row r="13" ht="16" customHeight="1" s="130">
      <c r="A13" s="95" t="inlineStr">
        <is>
          <t>Line Item</t>
        </is>
      </c>
      <c r="B13" s="109" t="inlineStr">
        <is>
          <t>Base Case</t>
        </is>
      </c>
      <c r="C13" s="110" t="inlineStr">
        <is>
          <t>Bull Case</t>
        </is>
      </c>
      <c r="D13" s="111" t="inlineStr">
        <is>
          <t>Bear Case</t>
        </is>
      </c>
      <c r="F13" s="110" t="inlineStr">
        <is>
          <t>Bull vs Base ($)</t>
        </is>
      </c>
      <c r="G13" s="111" t="inlineStr">
        <is>
          <t>Bear vs Base ($)</t>
        </is>
      </c>
    </row>
    <row r="14" ht="17" customHeight="1" s="130">
      <c r="A14" s="99" t="inlineStr">
        <is>
          <t>Revenue</t>
        </is>
      </c>
      <c r="B14" s="156">
        <f>B6</f>
        <v/>
      </c>
      <c r="C14" s="157">
        <f>C6</f>
        <v/>
      </c>
      <c r="D14" s="118">
        <f>D6</f>
        <v/>
      </c>
      <c r="F14" s="101">
        <f>C14-B14</f>
        <v/>
      </c>
      <c r="G14" s="118">
        <f>D14-B14</f>
        <v/>
      </c>
    </row>
    <row r="15" ht="17" customHeight="1" s="130">
      <c r="A15" s="103" t="inlineStr">
        <is>
          <t>Less: COGS</t>
        </is>
      </c>
      <c r="B15" s="112">
        <f>B14*B8</f>
        <v/>
      </c>
      <c r="C15" s="105">
        <f>C14*C8</f>
        <v/>
      </c>
      <c r="D15" s="113">
        <f>D14*D8</f>
        <v/>
      </c>
      <c r="F15" s="101">
        <f>C15-B15</f>
        <v/>
      </c>
      <c r="G15" s="118">
        <f>D15-B15</f>
        <v/>
      </c>
    </row>
    <row r="16" ht="17" customHeight="1" s="130">
      <c r="A16" s="106" t="inlineStr">
        <is>
          <t>Gross Profit</t>
        </is>
      </c>
      <c r="B16" s="117">
        <f>B14-B15</f>
        <v/>
      </c>
      <c r="C16" s="101">
        <f>C14-C15</f>
        <v/>
      </c>
      <c r="D16" s="118">
        <f>D14-D15</f>
        <v/>
      </c>
      <c r="F16" s="101">
        <f>C16-B16</f>
        <v/>
      </c>
      <c r="G16" s="118">
        <f>D16-B16</f>
        <v/>
      </c>
    </row>
    <row r="17" ht="17" customHeight="1" s="130">
      <c r="A17" s="106" t="inlineStr">
        <is>
          <t>Gross Margin %</t>
        </is>
      </c>
      <c r="B17" s="119">
        <f>B16/B14</f>
        <v/>
      </c>
      <c r="C17" s="107">
        <f>C16/C14</f>
        <v/>
      </c>
      <c r="D17" s="120">
        <f>D16/D14</f>
        <v/>
      </c>
    </row>
    <row r="18" ht="6" customHeight="1" s="130"/>
    <row r="19" ht="17" customHeight="1" s="130">
      <c r="A19" s="103" t="inlineStr">
        <is>
          <t>Less: OpEx</t>
        </is>
      </c>
      <c r="B19" s="112">
        <f>B9</f>
        <v/>
      </c>
      <c r="C19" s="105">
        <f>C9</f>
        <v/>
      </c>
      <c r="D19" s="113">
        <f>D9</f>
        <v/>
      </c>
      <c r="F19" s="105">
        <f>C19-B19</f>
        <v/>
      </c>
      <c r="G19" s="113">
        <f>D19-B19</f>
        <v/>
      </c>
    </row>
    <row r="20" ht="17" customHeight="1" s="130">
      <c r="A20" s="106" t="inlineStr">
        <is>
          <t>Operating Profit</t>
        </is>
      </c>
      <c r="B20" s="117">
        <f>B16-B19</f>
        <v/>
      </c>
      <c r="C20" s="101">
        <f>C16-C19</f>
        <v/>
      </c>
      <c r="D20" s="118">
        <f>D16-D19</f>
        <v/>
      </c>
      <c r="F20" s="105">
        <f>C20-B20</f>
        <v/>
      </c>
      <c r="G20" s="113">
        <f>D20-B20</f>
        <v/>
      </c>
    </row>
    <row r="21" ht="17" customHeight="1" s="130">
      <c r="A21" s="106" t="inlineStr">
        <is>
          <t>Operating Margin %</t>
        </is>
      </c>
      <c r="B21" s="119">
        <f>B20/B14</f>
        <v/>
      </c>
      <c r="C21" s="107">
        <f>C20/C14</f>
        <v/>
      </c>
      <c r="D21" s="120">
        <f>D20/D14</f>
        <v/>
      </c>
    </row>
  </sheetData>
  <mergeCells count="9">
    <mergeCell ref="A1:G1"/>
    <mergeCell ref="F10:G10"/>
    <mergeCell ref="A12:G12"/>
    <mergeCell ref="A4:G4"/>
    <mergeCell ref="A2:G2"/>
    <mergeCell ref="F6:G6"/>
    <mergeCell ref="F9:G9"/>
    <mergeCell ref="F7:G7"/>
    <mergeCell ref="F8:G8"/>
  </mergeCells>
  <pageMargins left="0.75" right="0.75" top="1" bottom="1" header="0.5" footer="0.5"/>
</worksheet>
</file>

<file path=xl/worksheets/sheet9.xml><?xml version="1.0" encoding="utf-8"?>
<worksheet xmlns="http://schemas.openxmlformats.org/spreadsheetml/2006/main">
  <sheetPr>
    <tabColor rgb="FF00B050"/>
    <outlinePr summaryBelow="1" summaryRight="1"/>
    <pageSetUpPr/>
  </sheetPr>
  <dimension ref="A1:F29"/>
  <sheetViews>
    <sheetView tabSelected="1" zoomScale="125" workbookViewId="0">
      <pane xSplit="1" ySplit="10" topLeftCell="B11" activePane="bottomRight" state="frozen"/>
      <selection pane="topRight" activeCell="A1" sqref="A1"/>
      <selection pane="bottomLeft" activeCell="A1" sqref="A1"/>
      <selection pane="bottomRight" activeCell="F14" sqref="F14"/>
    </sheetView>
  </sheetViews>
  <sheetFormatPr baseColWidth="10" defaultColWidth="8.83203125" defaultRowHeight="15"/>
  <cols>
    <col width="24" customWidth="1" style="130" min="1" max="1"/>
    <col width="17" customWidth="1" style="130" min="2" max="3"/>
    <col width="14" customWidth="1" style="130" min="4" max="4"/>
    <col width="11" customWidth="1" style="130" min="5" max="6"/>
  </cols>
  <sheetData>
    <row r="1" ht="24" customHeight="1" s="130">
      <c r="A1" s="152" t="inlineStr">
        <is>
          <t>ZARA &amp; CO. — EXECUTIVE DASHBOARD FY2025</t>
        </is>
      </c>
    </row>
    <row r="2" ht="14" customHeight="1" s="130">
      <c r="A2" s="154" t="inlineStr">
        <is>
          <t>All cells are formulas — links from P&amp;L Summary (budget), Variance Analysis (Q1 actuals), Rolling Forecast (FY).</t>
        </is>
      </c>
    </row>
    <row r="3" ht="8" customHeight="1" s="130"/>
    <row r="4" ht="18" customHeight="1" s="130">
      <c r="A4" s="153" t="inlineStr">
        <is>
          <t>SECTION 1 — Q1 KEY METRICS</t>
        </is>
      </c>
    </row>
    <row r="5" ht="14" customHeight="1" s="130">
      <c r="B5" s="121" t="inlineStr">
        <is>
          <t>Q1 Revenue — Actual</t>
        </is>
      </c>
      <c r="C5" s="121" t="inlineStr">
        <is>
          <t>Q1 Operating Profit — Actual</t>
        </is>
      </c>
      <c r="D5" s="121" t="inlineStr">
        <is>
          <t>Q1 Operating Margin %</t>
        </is>
      </c>
      <c r="E5" s="121" t="inlineStr">
        <is>
          <t>Q1 EBITDA Margin %</t>
        </is>
      </c>
    </row>
    <row r="6" ht="32" customHeight="1" s="130">
      <c r="B6" s="122">
        <f>'Variance Analysis'!U7</f>
        <v/>
      </c>
      <c r="C6" s="122">
        <f>'Variance Analysis'!U13</f>
        <v/>
      </c>
      <c r="D6" s="123">
        <f>'Variance Analysis'!U10</f>
        <v/>
      </c>
      <c r="E6" s="123">
        <f>'Variance Analysis'!U14</f>
        <v/>
      </c>
    </row>
    <row r="7" ht="14" customHeight="1" s="130">
      <c r="B7" s="124" t="inlineStr">
        <is>
          <t>Source: ='Variance Analysis'!U7</t>
        </is>
      </c>
      <c r="C7" s="124" t="inlineStr">
        <is>
          <t>Source: ='Variance Analysis'!U13</t>
        </is>
      </c>
      <c r="D7" s="124" t="inlineStr">
        <is>
          <t>Source: ='Variance Analysis'!U13/'Variance Analysis'!U7</t>
        </is>
      </c>
      <c r="E7" s="124" t="inlineStr">
        <is>
          <t>Source: ='Variance Analysis'!U14</t>
        </is>
      </c>
    </row>
    <row r="8" ht="8" customHeight="1" s="130"/>
    <row r="9" ht="18" customHeight="1" s="130">
      <c r="A9" s="153" t="inlineStr">
        <is>
          <t>SECTION 2 — Q1 SCORECARD (Actual vs Budget)</t>
        </is>
      </c>
    </row>
    <row r="10" ht="14" customHeight="1" s="130">
      <c r="A10" s="95" t="inlineStr">
        <is>
          <t>Line Item</t>
        </is>
      </c>
      <c r="B10" s="109" t="inlineStr">
        <is>
          <t>Q1 Budget</t>
        </is>
      </c>
      <c r="C10" s="125" t="inlineStr">
        <is>
          <t>Q1 Actual</t>
        </is>
      </c>
      <c r="D10" s="110" t="inlineStr">
        <is>
          <t>$ Variance</t>
        </is>
      </c>
      <c r="E10" s="110" t="inlineStr">
        <is>
          <t>Fav/Unfav</t>
        </is>
      </c>
      <c r="F10" s="110" t="inlineStr">
        <is>
          <t>% Variance</t>
        </is>
      </c>
    </row>
    <row r="11" ht="17" customHeight="1" s="130">
      <c r="A11" s="99" t="inlineStr">
        <is>
          <t>Revenue</t>
        </is>
      </c>
      <c r="B11" s="117">
        <f>'Variance Analysis'!T7</f>
        <v/>
      </c>
      <c r="C11" s="100">
        <f>'Variance Analysis'!U7</f>
        <v/>
      </c>
      <c r="D11" s="101">
        <f>'Variance Analysis'!V7</f>
        <v/>
      </c>
      <c r="E11" s="126">
        <f>'Variance Analysis'!W7</f>
        <v/>
      </c>
      <c r="F11" s="107">
        <f>'Variance Analysis'!X7</f>
        <v/>
      </c>
    </row>
    <row r="12" ht="17" customHeight="1" s="130">
      <c r="A12" s="103" t="inlineStr">
        <is>
          <t>Less: COGS</t>
        </is>
      </c>
      <c r="B12" s="112">
        <f>'Variance Analysis'!T8</f>
        <v/>
      </c>
      <c r="C12" s="104">
        <f>'Variance Analysis'!U8</f>
        <v/>
      </c>
      <c r="D12" s="105">
        <f>'Variance Analysis'!V8</f>
        <v/>
      </c>
      <c r="E12" s="127">
        <f>'Variance Analysis'!W8</f>
        <v/>
      </c>
      <c r="F12" s="115">
        <f>'Variance Analysis'!X8</f>
        <v/>
      </c>
    </row>
    <row r="13" ht="17" customHeight="1" s="130">
      <c r="A13" s="106" t="inlineStr">
        <is>
          <t>Gross Profit</t>
        </is>
      </c>
      <c r="B13" s="117">
        <f>'Variance Analysis'!T9</f>
        <v/>
      </c>
      <c r="C13" s="100">
        <f>'Variance Analysis'!U9</f>
        <v/>
      </c>
      <c r="D13" s="101">
        <f>'Variance Analysis'!V9</f>
        <v/>
      </c>
      <c r="E13" s="126">
        <f>'Variance Analysis'!W9</f>
        <v/>
      </c>
      <c r="F13" s="107">
        <f>'Variance Analysis'!X9</f>
        <v/>
      </c>
    </row>
    <row r="14" ht="17" customHeight="1" s="130">
      <c r="A14" s="106" t="inlineStr">
        <is>
          <t>Gross Margin %</t>
        </is>
      </c>
      <c r="B14" s="119">
        <f>'Variance Analysis'!T10</f>
        <v/>
      </c>
      <c r="C14" s="128">
        <f>'Variance Analysis'!U10</f>
        <v/>
      </c>
      <c r="D14" s="158">
        <f>'Variance Analysis'!V10</f>
        <v/>
      </c>
      <c r="E14" s="126">
        <f>'Variance Analysis'!W10</f>
        <v/>
      </c>
      <c r="F14" s="107">
        <f>'Variance Analysis'!X10</f>
        <v/>
      </c>
    </row>
    <row r="15" ht="6" customHeight="1" s="130"/>
    <row r="16" ht="17" customHeight="1" s="130">
      <c r="A16" s="103" t="inlineStr">
        <is>
          <t>Less: OpEx</t>
        </is>
      </c>
      <c r="B16" s="112">
        <f>'Variance Analysis'!T12</f>
        <v/>
      </c>
      <c r="C16" s="104">
        <f>'Variance Analysis'!U12</f>
        <v/>
      </c>
      <c r="D16" s="105">
        <f>'Variance Analysis'!V12</f>
        <v/>
      </c>
      <c r="E16" s="127">
        <f>'Variance Analysis'!W12</f>
        <v/>
      </c>
      <c r="F16" s="115">
        <f>'Variance Analysis'!X12</f>
        <v/>
      </c>
    </row>
    <row r="17" ht="17" customHeight="1" s="130">
      <c r="A17" s="106" t="inlineStr">
        <is>
          <t>Operating Profit</t>
        </is>
      </c>
      <c r="B17" s="117">
        <f>'Variance Analysis'!T13</f>
        <v/>
      </c>
      <c r="C17" s="100">
        <f>'Variance Analysis'!U13</f>
        <v/>
      </c>
      <c r="D17" s="101">
        <f>'Variance Analysis'!V13</f>
        <v/>
      </c>
      <c r="E17" s="126">
        <f>'Variance Analysis'!W13</f>
        <v/>
      </c>
      <c r="F17" s="107">
        <f>'Variance Analysis'!X13</f>
        <v/>
      </c>
    </row>
    <row r="18" ht="17" customHeight="1" s="130">
      <c r="A18" s="106" t="inlineStr">
        <is>
          <t>Operating Margin %</t>
        </is>
      </c>
      <c r="B18" s="119">
        <f>'Variance Analysis'!T14</f>
        <v/>
      </c>
      <c r="C18" s="128">
        <f>'Variance Analysis'!U14</f>
        <v/>
      </c>
      <c r="D18" s="158">
        <f>'Variance Analysis'!V14</f>
        <v/>
      </c>
      <c r="E18" s="126">
        <f>'Variance Analysis'!W14</f>
        <v/>
      </c>
      <c r="F18" s="107">
        <f>'Variance Analysis'!X14</f>
        <v/>
      </c>
    </row>
    <row r="19" ht="8" customHeight="1" s="130"/>
    <row r="20" ht="18" customHeight="1" s="130">
      <c r="A20" s="153" t="inlineStr">
        <is>
          <t>SECTION 3 — FULL YEAR OUTLOOK (Budget vs Rolling Forecast)</t>
        </is>
      </c>
    </row>
    <row r="21" ht="14" customHeight="1" s="130">
      <c r="A21" s="95" t="inlineStr">
        <is>
          <t>Line Item</t>
        </is>
      </c>
      <c r="B21" s="109" t="inlineStr">
        <is>
          <t>FY2025 Budget</t>
        </is>
      </c>
      <c r="C21" s="110" t="inlineStr">
        <is>
          <t>Rolling Forecast</t>
        </is>
      </c>
      <c r="D21" s="110" t="inlineStr">
        <is>
          <t>$ Variance</t>
        </is>
      </c>
      <c r="E21" s="110" t="inlineStr">
        <is>
          <t>Fav/Unfav</t>
        </is>
      </c>
      <c r="F21" s="110" t="inlineStr">
        <is>
          <t>% Variance</t>
        </is>
      </c>
    </row>
    <row r="22" ht="17" customHeight="1" s="130">
      <c r="A22" s="99" t="inlineStr">
        <is>
          <t>Revenue</t>
        </is>
      </c>
      <c r="B22" s="117">
        <f>'P&amp;L Summary'!O6</f>
        <v/>
      </c>
      <c r="C22" s="101">
        <f>'Rolling Forecast'!N7</f>
        <v/>
      </c>
      <c r="D22" s="101">
        <f>C22-B22</f>
        <v/>
      </c>
      <c r="E22" s="85">
        <f>IF(D22&lt;0,"Unfav","Fav")</f>
        <v/>
      </c>
      <c r="F22" s="107">
        <f>D22/B22</f>
        <v/>
      </c>
    </row>
    <row r="23" ht="17" customHeight="1" s="130">
      <c r="A23" s="103" t="inlineStr">
        <is>
          <t>Less: COGS</t>
        </is>
      </c>
      <c r="B23" s="112">
        <f>'P&amp;L Summary'!O7</f>
        <v/>
      </c>
      <c r="C23" s="105">
        <f>'Rolling Forecast'!N8</f>
        <v/>
      </c>
      <c r="D23" s="105">
        <f>C23-B23</f>
        <v/>
      </c>
      <c r="E23" s="85">
        <f>IF(D23&gt;0,"Unfav","Fav")</f>
        <v/>
      </c>
      <c r="F23" s="107">
        <f>D23/B23</f>
        <v/>
      </c>
    </row>
    <row r="24" ht="17" customHeight="1" s="130">
      <c r="A24" s="106" t="inlineStr">
        <is>
          <t>Gross Profit</t>
        </is>
      </c>
      <c r="B24" s="117">
        <f>'P&amp;L Summary'!O8</f>
        <v/>
      </c>
      <c r="C24" s="101">
        <f>'Rolling Forecast'!N9</f>
        <v/>
      </c>
      <c r="D24" s="101">
        <f>C24-B24</f>
        <v/>
      </c>
      <c r="E24" s="85">
        <f>IF(D24&lt;0,"Unfav","Fav")</f>
        <v/>
      </c>
      <c r="F24" s="107">
        <f>D24/B24</f>
        <v/>
      </c>
    </row>
    <row r="25" ht="17" customHeight="1" s="130">
      <c r="A25" s="106" t="inlineStr">
        <is>
          <t>Gross Margin %</t>
        </is>
      </c>
      <c r="B25" s="119">
        <f>'P&amp;L Summary'!O9</f>
        <v/>
      </c>
      <c r="C25" s="107">
        <f>'Rolling Forecast'!N10</f>
        <v/>
      </c>
      <c r="D25" s="158">
        <f>C25-B25</f>
        <v/>
      </c>
      <c r="E25" s="85">
        <f>IF(D25&lt;0,"Unfav","Fav")</f>
        <v/>
      </c>
      <c r="F25" s="107">
        <f>D25/B25</f>
        <v/>
      </c>
    </row>
    <row r="26" ht="6" customHeight="1" s="130"/>
    <row r="27" ht="17" customHeight="1" s="130">
      <c r="A27" s="103" t="inlineStr">
        <is>
          <t>Less: OpEx</t>
        </is>
      </c>
      <c r="B27" s="112">
        <f>'P&amp;L Summary'!O11</f>
        <v/>
      </c>
      <c r="C27" s="105">
        <f>'Rolling Forecast'!N12</f>
        <v/>
      </c>
      <c r="D27" s="105">
        <f>C27-B27</f>
        <v/>
      </c>
      <c r="E27" s="85">
        <f>IF(D27&gt;0,"Unfav","Fav")</f>
        <v/>
      </c>
      <c r="F27" s="115">
        <f>D27/B27</f>
        <v/>
      </c>
    </row>
    <row r="28" ht="17" customHeight="1" s="130">
      <c r="A28" s="106" t="inlineStr">
        <is>
          <t>Operating Profit</t>
        </is>
      </c>
      <c r="B28" s="117">
        <f>'P&amp;L Summary'!O12</f>
        <v/>
      </c>
      <c r="C28" s="101">
        <f>'Rolling Forecast'!N13</f>
        <v/>
      </c>
      <c r="D28" s="101">
        <f>C28-B28</f>
        <v/>
      </c>
      <c r="E28" s="85">
        <f>IF(D28&lt;0,"Unfav","Fav")</f>
        <v/>
      </c>
      <c r="F28" s="115">
        <f>D28/B28</f>
        <v/>
      </c>
    </row>
    <row r="29" ht="17" customHeight="1" s="130">
      <c r="A29" s="106" t="inlineStr">
        <is>
          <t>Operating Margin %</t>
        </is>
      </c>
      <c r="B29" s="119">
        <f>'P&amp;L Summary'!O13</f>
        <v/>
      </c>
      <c r="C29" s="107">
        <f>'Rolling Forecast'!N14</f>
        <v/>
      </c>
      <c r="D29" s="158">
        <f>C29-B29</f>
        <v/>
      </c>
      <c r="E29" s="85">
        <f>IF(D29&lt;0,"Unfav","Fav")</f>
        <v/>
      </c>
      <c r="F29" s="115">
        <f>D29/B29</f>
        <v/>
      </c>
    </row>
  </sheetData>
  <mergeCells count="5">
    <mergeCell ref="A2:F2"/>
    <mergeCell ref="A1:F1"/>
    <mergeCell ref="A9:F9"/>
    <mergeCell ref="A4:F4"/>
    <mergeCell ref="A20:F20"/>
  </mergeCells>
  <conditionalFormatting sqref="E22:E25 E27:E29">
    <cfRule type="expression" priority="1" dxfId="1">
      <formula>XEL17="Unfav"</formula>
    </cfRule>
    <cfRule type="expression" priority="2" dxfId="0">
      <formula>XEL17="Fav"</formula>
    </cfRule>
    <cfRule type="containsText" priority="3" operator="containsText" dxfId="1" text="Unfav">
      <formula>NOT(ISERROR(SEARCH("Unfav",E22)))</formula>
    </cfRule>
  </conditionalFormatting>
  <conditionalFormatting sqref="E22">
    <cfRule type="containsText" priority="5" operator="containsText" dxfId="0" text="Fav">
      <formula>NOT(ISERROR(SEARCH("Fav",E22)))</formula>
    </cfRule>
  </conditionalFormatting>
  <conditionalFormatting sqref="E23:E25 E27:E29">
    <cfRule type="containsText" priority="4" operator="containsText" dxfId="0" stopIfTrue="1" text="Fav">
      <formula>NOT(ISERROR(SEARCH("Fav",E23)))</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2026-08-24T20:40:40Z</dcterms:created>
  <dcterms:modified xmlns:dcterms="http://purl.org/dc/terms/" xmlns:xsi="http://www.w3.org/2001/XMLSchema-instance" xsi:type="dcterms:W3CDTF">2026-08-30T21:13:21Z</dcterms:modified>
  <cp:lastModifiedBy>Muhammed Ashnad K</cp:lastModifiedBy>
</cp:coreProperties>
</file>