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shnad/my_career/learning/phase2b_project1/"/>
    </mc:Choice>
  </mc:AlternateContent>
  <xr:revisionPtr revIDLastSave="0" documentId="13_ncr:1_{24D167C9-001A-3240-ABA7-84F6C025886A}" xr6:coauthVersionLast="47" xr6:coauthVersionMax="47" xr10:uidLastSave="{00000000-0000-0000-0000-000000000000}"/>
  <bookViews>
    <workbookView xWindow="0" yWindow="600" windowWidth="28800" windowHeight="17400" activeTab="1" xr2:uid="{00000000-000D-0000-FFFF-FFFF00000000}"/>
  </bookViews>
  <sheets>
    <sheet name="Assumptions" sheetId="1" r:id="rId1"/>
    <sheet name="Revenue Build" sheetId="2" r:id="rId2"/>
    <sheet name="COGS Build" sheetId="3" r:id="rId3"/>
    <sheet name="OpEx Detail" sheetId="4" r:id="rId4"/>
    <sheet name="P&amp;L Summary" sheetId="5" r:id="rId5"/>
    <sheet name="Variance Analysis" sheetId="6" r:id="rId6"/>
    <sheet name="Rolling Forecast" sheetId="7" r:id="rId7"/>
    <sheet name="Scenario Analysi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19" i="2"/>
  <c r="O37" i="2"/>
  <c r="C37" i="2"/>
  <c r="N37" i="2"/>
  <c r="M37" i="2"/>
  <c r="L37" i="2"/>
  <c r="K37" i="2"/>
  <c r="J37" i="2"/>
  <c r="I37" i="2"/>
  <c r="H37" i="2"/>
  <c r="G37" i="2"/>
  <c r="F37" i="2"/>
  <c r="E37" i="2"/>
  <c r="D37" i="2"/>
  <c r="O30" i="2"/>
  <c r="O31" i="2"/>
  <c r="O32" i="2"/>
  <c r="O33" i="2"/>
  <c r="O34" i="2"/>
  <c r="O35" i="2"/>
  <c r="O36" i="2"/>
  <c r="O29" i="2"/>
  <c r="D30" i="2"/>
  <c r="E30" i="2"/>
  <c r="F30" i="2"/>
  <c r="G30" i="2"/>
  <c r="H30" i="2"/>
  <c r="I30" i="2"/>
  <c r="J30" i="2"/>
  <c r="K30" i="2"/>
  <c r="L30" i="2"/>
  <c r="M30" i="2"/>
  <c r="N30" i="2"/>
  <c r="D31" i="2"/>
  <c r="E31" i="2"/>
  <c r="F31" i="2"/>
  <c r="G31" i="2"/>
  <c r="H31" i="2"/>
  <c r="I31" i="2"/>
  <c r="J31" i="2"/>
  <c r="K31" i="2"/>
  <c r="L31" i="2"/>
  <c r="M31" i="2"/>
  <c r="N31" i="2"/>
  <c r="D32" i="2"/>
  <c r="E32" i="2"/>
  <c r="F32" i="2"/>
  <c r="G32" i="2"/>
  <c r="H32" i="2"/>
  <c r="I32" i="2"/>
  <c r="J32" i="2"/>
  <c r="K32" i="2"/>
  <c r="L32" i="2"/>
  <c r="M32" i="2"/>
  <c r="N32" i="2"/>
  <c r="D33" i="2"/>
  <c r="D34" i="2" s="1"/>
  <c r="E33" i="2"/>
  <c r="F33" i="2"/>
  <c r="G33" i="2"/>
  <c r="H33" i="2"/>
  <c r="I33" i="2"/>
  <c r="J33" i="2"/>
  <c r="K33" i="2"/>
  <c r="L33" i="2"/>
  <c r="M33" i="2"/>
  <c r="N33" i="2"/>
  <c r="E34" i="2"/>
  <c r="F34" i="2"/>
  <c r="G34" i="2"/>
  <c r="H34" i="2"/>
  <c r="I34" i="2"/>
  <c r="J34" i="2"/>
  <c r="K34" i="2"/>
  <c r="L34" i="2"/>
  <c r="M34" i="2"/>
  <c r="N34" i="2"/>
  <c r="D35" i="2"/>
  <c r="E35" i="2"/>
  <c r="F35" i="2"/>
  <c r="G35" i="2"/>
  <c r="H35" i="2"/>
  <c r="I35" i="2"/>
  <c r="J35" i="2"/>
  <c r="K35" i="2"/>
  <c r="L35" i="2"/>
  <c r="M35" i="2"/>
  <c r="N35" i="2"/>
  <c r="D36" i="2"/>
  <c r="E36" i="2"/>
  <c r="F36" i="2"/>
  <c r="G36" i="2"/>
  <c r="H36" i="2"/>
  <c r="I36" i="2"/>
  <c r="J36" i="2"/>
  <c r="K36" i="2"/>
  <c r="L36" i="2"/>
  <c r="M36" i="2"/>
  <c r="N36" i="2"/>
  <c r="C36" i="2"/>
  <c r="C34" i="2"/>
  <c r="C33" i="2"/>
  <c r="C32" i="2"/>
  <c r="C30" i="2"/>
  <c r="C35" i="2"/>
  <c r="C31" i="2"/>
  <c r="D29" i="2"/>
  <c r="E29" i="2"/>
  <c r="F29" i="2"/>
  <c r="G29" i="2"/>
  <c r="H29" i="2"/>
  <c r="I29" i="2"/>
  <c r="J29" i="2"/>
  <c r="K29" i="2"/>
  <c r="L29" i="2"/>
  <c r="M29" i="2"/>
  <c r="N29" i="2"/>
  <c r="C29" i="2"/>
  <c r="O20" i="2"/>
  <c r="O21" i="2"/>
  <c r="O22" i="2"/>
  <c r="O23" i="2"/>
  <c r="O24" i="2"/>
  <c r="O25" i="2"/>
  <c r="O18" i="2"/>
  <c r="D26" i="2"/>
  <c r="E26" i="2"/>
  <c r="F26" i="2"/>
  <c r="G26" i="2"/>
  <c r="H26" i="2"/>
  <c r="I26" i="2"/>
  <c r="J26" i="2"/>
  <c r="K26" i="2"/>
  <c r="L26" i="2"/>
  <c r="M26" i="2"/>
  <c r="N26" i="2"/>
  <c r="D25" i="2"/>
  <c r="E25" i="2"/>
  <c r="F25" i="2"/>
  <c r="G25" i="2"/>
  <c r="H25" i="2"/>
  <c r="I25" i="2"/>
  <c r="J25" i="2"/>
  <c r="K25" i="2"/>
  <c r="L25" i="2"/>
  <c r="M25" i="2"/>
  <c r="N25" i="2"/>
  <c r="D23" i="2"/>
  <c r="E23" i="2"/>
  <c r="F23" i="2"/>
  <c r="G23" i="2"/>
  <c r="H23" i="2"/>
  <c r="I23" i="2"/>
  <c r="J23" i="2"/>
  <c r="K23" i="2"/>
  <c r="L23" i="2"/>
  <c r="M23" i="2"/>
  <c r="N23" i="2"/>
  <c r="D21" i="2"/>
  <c r="E21" i="2"/>
  <c r="F21" i="2"/>
  <c r="G21" i="2"/>
  <c r="H21" i="2"/>
  <c r="I21" i="2"/>
  <c r="J21" i="2"/>
  <c r="K21" i="2"/>
  <c r="L21" i="2"/>
  <c r="M21" i="2"/>
  <c r="N21" i="2"/>
  <c r="D19" i="2"/>
  <c r="E19" i="2"/>
  <c r="F19" i="2"/>
  <c r="G19" i="2"/>
  <c r="H19" i="2"/>
  <c r="I19" i="2"/>
  <c r="J19" i="2"/>
  <c r="K19" i="2"/>
  <c r="L19" i="2"/>
  <c r="M19" i="2"/>
  <c r="N19" i="2"/>
  <c r="C25" i="2"/>
  <c r="C23" i="2"/>
  <c r="C21" i="2"/>
  <c r="D24" i="2"/>
  <c r="E24" i="2"/>
  <c r="F24" i="2"/>
  <c r="G24" i="2"/>
  <c r="H24" i="2"/>
  <c r="I24" i="2"/>
  <c r="J24" i="2"/>
  <c r="K24" i="2"/>
  <c r="L24" i="2"/>
  <c r="M24" i="2"/>
  <c r="N24" i="2"/>
  <c r="D22" i="2"/>
  <c r="E22" i="2"/>
  <c r="F22" i="2"/>
  <c r="G22" i="2"/>
  <c r="H22" i="2"/>
  <c r="I22" i="2"/>
  <c r="J22" i="2"/>
  <c r="K22" i="2"/>
  <c r="L22" i="2"/>
  <c r="M22" i="2"/>
  <c r="N22" i="2"/>
  <c r="D20" i="2"/>
  <c r="E20" i="2"/>
  <c r="F20" i="2"/>
  <c r="G20" i="2"/>
  <c r="H20" i="2"/>
  <c r="I20" i="2"/>
  <c r="J20" i="2"/>
  <c r="K20" i="2"/>
  <c r="L20" i="2"/>
  <c r="M20" i="2"/>
  <c r="N20" i="2"/>
  <c r="C22" i="2"/>
  <c r="C24" i="2"/>
  <c r="C20" i="2"/>
  <c r="D18" i="2"/>
  <c r="E18" i="2"/>
  <c r="F18" i="2"/>
  <c r="G18" i="2"/>
  <c r="H18" i="2"/>
  <c r="I18" i="2"/>
  <c r="J18" i="2"/>
  <c r="K18" i="2"/>
  <c r="L18" i="2"/>
  <c r="M18" i="2"/>
  <c r="N18" i="2"/>
  <c r="D15" i="2"/>
  <c r="E15" i="2"/>
  <c r="F15" i="2"/>
  <c r="G15" i="2"/>
  <c r="H15" i="2"/>
  <c r="I15" i="2"/>
  <c r="J15" i="2"/>
  <c r="K15" i="2"/>
  <c r="L15" i="2"/>
  <c r="M15" i="2"/>
  <c r="N15" i="2"/>
  <c r="O15" i="2"/>
  <c r="C15" i="2"/>
  <c r="O14" i="2"/>
  <c r="O12" i="2"/>
  <c r="O10" i="2"/>
  <c r="D14" i="2"/>
  <c r="E14" i="2"/>
  <c r="F14" i="2"/>
  <c r="G14" i="2"/>
  <c r="H14" i="2"/>
  <c r="I14" i="2"/>
  <c r="J14" i="2"/>
  <c r="K14" i="2"/>
  <c r="L14" i="2"/>
  <c r="M14" i="2"/>
  <c r="N14" i="2"/>
  <c r="D12" i="2"/>
  <c r="E12" i="2"/>
  <c r="F12" i="2"/>
  <c r="G12" i="2"/>
  <c r="H12" i="2"/>
  <c r="I12" i="2"/>
  <c r="J12" i="2"/>
  <c r="K12" i="2"/>
  <c r="L12" i="2"/>
  <c r="M12" i="2"/>
  <c r="N12" i="2"/>
  <c r="D10" i="2"/>
  <c r="E10" i="2"/>
  <c r="F10" i="2"/>
  <c r="G10" i="2"/>
  <c r="H10" i="2"/>
  <c r="I10" i="2"/>
  <c r="J10" i="2"/>
  <c r="K10" i="2"/>
  <c r="L10" i="2"/>
  <c r="M10" i="2"/>
  <c r="N10" i="2"/>
  <c r="O8" i="2"/>
  <c r="D8" i="2"/>
  <c r="E8" i="2"/>
  <c r="F8" i="2"/>
  <c r="G8" i="2"/>
  <c r="H8" i="2"/>
  <c r="I8" i="2"/>
  <c r="J8" i="2"/>
  <c r="K8" i="2"/>
  <c r="L8" i="2"/>
  <c r="M8" i="2"/>
  <c r="N8" i="2"/>
  <c r="C14" i="2"/>
  <c r="C12" i="2"/>
  <c r="C10" i="2"/>
  <c r="C8" i="2"/>
  <c r="O13" i="2"/>
  <c r="O11" i="2"/>
  <c r="O9" i="2"/>
  <c r="D13" i="2"/>
  <c r="E13" i="2"/>
  <c r="F13" i="2"/>
  <c r="G13" i="2"/>
  <c r="H13" i="2"/>
  <c r="I13" i="2"/>
  <c r="J13" i="2"/>
  <c r="K13" i="2"/>
  <c r="L13" i="2"/>
  <c r="M13" i="2"/>
  <c r="N13" i="2"/>
  <c r="D11" i="2"/>
  <c r="E11" i="2"/>
  <c r="F11" i="2"/>
  <c r="G11" i="2"/>
  <c r="H11" i="2"/>
  <c r="I11" i="2"/>
  <c r="J11" i="2"/>
  <c r="K11" i="2"/>
  <c r="L11" i="2"/>
  <c r="M11" i="2"/>
  <c r="N11" i="2"/>
  <c r="C13" i="2"/>
  <c r="C11" i="2"/>
  <c r="D9" i="2"/>
  <c r="E9" i="2"/>
  <c r="F9" i="2"/>
  <c r="G9" i="2"/>
  <c r="H9" i="2"/>
  <c r="I9" i="2"/>
  <c r="J9" i="2"/>
  <c r="K9" i="2"/>
  <c r="L9" i="2"/>
  <c r="M9" i="2"/>
  <c r="N9" i="2"/>
  <c r="C9" i="2"/>
  <c r="C7" i="2"/>
  <c r="O7" i="2"/>
  <c r="O5" i="2"/>
  <c r="D7" i="2"/>
  <c r="E7" i="2"/>
  <c r="F7" i="2"/>
  <c r="G7" i="2"/>
  <c r="H7" i="2"/>
  <c r="I7" i="2"/>
  <c r="J7" i="2"/>
  <c r="K7" i="2"/>
  <c r="L7" i="2"/>
  <c r="M7" i="2"/>
  <c r="N7" i="2"/>
  <c r="D5" i="2" a="1"/>
  <c r="E5" i="2" a="1"/>
  <c r="F5" i="2" a="1"/>
  <c r="G5" i="2" a="1"/>
  <c r="H5" i="2" a="1"/>
  <c r="I5" i="2" a="1"/>
  <c r="J5" i="2" a="1"/>
  <c r="K5" i="2" a="1"/>
  <c r="L5" i="2" a="1"/>
  <c r="M5" i="2" a="1"/>
  <c r="N5" i="2" a="1"/>
  <c r="C5" i="2" a="1"/>
  <c r="B29" i="1"/>
  <c r="O19" i="2" l="1"/>
  <c r="O26" i="2" s="1"/>
  <c r="C2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<sst xmlns="http://schemas.openxmlformats.org/spreadsheetml/2006/main" count="166" uniqueCount="99">
  <si>
    <t>ZARA &amp; CO. — FP&amp;A MODEL FY2025</t>
  </si>
  <si>
    <t>Assumptions Tab — All inputs live here. Never hardcode numbers in other tabs.</t>
  </si>
  <si>
    <t>Colour key:</t>
  </si>
  <si>
    <t xml:space="preserve">  Blue = Hardcoded input  </t>
  </si>
  <si>
    <t xml:space="preserve">  Green = Formula  </t>
  </si>
  <si>
    <t>(Black = formula in other tabs)</t>
  </si>
  <si>
    <t>A. MODEL PARAMETERS</t>
  </si>
  <si>
    <t>Fiscal Year</t>
  </si>
  <si>
    <t>Currency</t>
  </si>
  <si>
    <t>AED</t>
  </si>
  <si>
    <t>Company Name</t>
  </si>
  <si>
    <t>Zara &amp; Co.</t>
  </si>
  <si>
    <t>B. OUTLETS &amp; PRODUCT CATEGORIES</t>
  </si>
  <si>
    <t>Outlet 1</t>
  </si>
  <si>
    <t>Dubai Mall</t>
  </si>
  <si>
    <t>Category 1</t>
  </si>
  <si>
    <t>Women's Wear</t>
  </si>
  <si>
    <t>Outlet 2</t>
  </si>
  <si>
    <t>Marina Mall</t>
  </si>
  <si>
    <t>Category 2</t>
  </si>
  <si>
    <t>Men's Wear</t>
  </si>
  <si>
    <t>Outlet 3</t>
  </si>
  <si>
    <t>Online</t>
  </si>
  <si>
    <t>Category 3</t>
  </si>
  <si>
    <t>Kids' Wear</t>
  </si>
  <si>
    <t>Category 4</t>
  </si>
  <si>
    <t>Accessories</t>
  </si>
  <si>
    <t>C. SEASONALITY MULTIPLIERS  (1.00 = base month)</t>
  </si>
  <si>
    <t>Month</t>
  </si>
  <si>
    <t>Multiplier</t>
  </si>
  <si>
    <t>Note</t>
  </si>
  <si>
    <t>January</t>
  </si>
  <si>
    <t>Post-holiday shopping</t>
  </si>
  <si>
    <t>February</t>
  </si>
  <si>
    <t>March</t>
  </si>
  <si>
    <t>Ramadan — higher footfall &amp; gifting</t>
  </si>
  <si>
    <t>April</t>
  </si>
  <si>
    <t>Post-Ramadan dip</t>
  </si>
  <si>
    <t>May</t>
  </si>
  <si>
    <t>June</t>
  </si>
  <si>
    <t>Summer begins</t>
  </si>
  <si>
    <t>July</t>
  </si>
  <si>
    <t>Peak summer — expat travel</t>
  </si>
  <si>
    <t>August</t>
  </si>
  <si>
    <t>Summer</t>
  </si>
  <si>
    <t>September</t>
  </si>
  <si>
    <t>Back to school / work</t>
  </si>
  <si>
    <t>October</t>
  </si>
  <si>
    <t>November</t>
  </si>
  <si>
    <t>White Friday / pre-holiday</t>
  </si>
  <si>
    <t>December</t>
  </si>
  <si>
    <t>Holiday season + NYE</t>
  </si>
  <si>
    <t>Sum check (should ≈ 12)</t>
  </si>
  <si>
    <t>D. BASE MONTHLY UNITS  (per outlet, per category — before seasonality)</t>
  </si>
  <si>
    <t>Category</t>
  </si>
  <si>
    <t>E. AVERAGE SELLING PRICE (AED)</t>
  </si>
  <si>
    <t>ASP (AED)</t>
  </si>
  <si>
    <t>Premium positioning — Dubai Mall mix weighted</t>
  </si>
  <si>
    <t>Impulse-buy category — lower ASP, high volume</t>
  </si>
  <si>
    <t>F. COGS % BY CATEGORY  (Week 4 — fill in when building COGS tab)</t>
  </si>
  <si>
    <t>COGS %</t>
  </si>
  <si>
    <t>G. OPEX ASSUMPTIONS (Monthly AED)  (Week 4)</t>
  </si>
  <si>
    <t>Item</t>
  </si>
  <si>
    <t>Rent (AED/month)</t>
  </si>
  <si>
    <t>Base Payroll (AED/month)</t>
  </si>
  <si>
    <t>Marketing % of Revenue</t>
  </si>
  <si>
    <t>ZARA &amp; CO. — REVENUE BUILD FY2025</t>
  </si>
  <si>
    <t>Formulas only — all inputs linked from Assumptions tab. Nothing hardcoded here.</t>
  </si>
  <si>
    <t>Outlet / Category</t>
  </si>
  <si>
    <t>Metric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</si>
  <si>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</si>
  <si>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</si>
  <si>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</si>
  <si>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</si>
  <si>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</si>
  <si>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</si>
  <si>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</si>
  <si>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</si>
  <si>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</si>
  <si>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</si>
  <si>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</si>
  <si>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TOTAL</t>
  </si>
  <si>
    <t>Units</t>
  </si>
  <si>
    <t>Revenue (AED)</t>
  </si>
  <si>
    <t>Dubai Mall — Total Revenue</t>
  </si>
  <si>
    <t>Marina Mall — Total Revenue</t>
  </si>
  <si>
    <t>Online — Total Revenue</t>
  </si>
  <si>
    <t>TOTAL REVENUE — ALL OUTLETS</t>
  </si>
  <si>
    <t>ZARA &amp; CO. — COGS BUILD — WEEK 4</t>
  </si>
  <si>
    <t>Coming in Week 4</t>
  </si>
  <si>
    <t>ZARA &amp; CO. — OPEX DETAIL — WEEK 4</t>
  </si>
  <si>
    <t>ZARA &amp; CO. — P&amp;L SUMMARY — WEEK 4</t>
  </si>
  <si>
    <t>ZARA &amp; CO. — VARIANCE ANALYSIS — WEEK 5</t>
  </si>
  <si>
    <t>Coming in Week 5</t>
  </si>
  <si>
    <t>ZARA &amp; CO. — ROLLING FORECAST — WEEK 5</t>
  </si>
  <si>
    <t>ZARA &amp; CO. — SCENARIO ANALYSIS — WEEK 6</t>
  </si>
  <si>
    <t>Coming in Week 6</t>
  </si>
  <si>
    <t>ZARA &amp; CO. — DASHBOARD — WEEK 6</t>
  </si>
  <si>
    <t>Seasonality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</si>
</sst>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9"/>
      <color rgb="FFFFFFFF"/>
      <name val="Calibri"/>
      <family val="2"/>
    </font>
    <font>
      <b/>
      <sz val="9"/>
      <color rgb="FF1F3864"/>
      <name val="Calibri"/>
      <family val="2"/>
    </font>
    <font>
      <sz val="9"/>
      <color rgb="FF1F497D"/>
      <name val="Calibri"/>
      <family val="2"/>
    </font>
    <font>
      <sz val="9"/>
      <color rgb="FF375623"/>
      <name val="Calibri"/>
      <family val="2"/>
    </font>
    <font>
      <i/>
      <sz val="9"/>
      <color rgb="FF7F7F7F"/>
      <name val="Calibri"/>
      <family val="2"/>
    </font>
    <font>
      <b/>
      <sz val="9"/>
      <color rgb="FFFFFFFF"/>
      <name val="Calibri"/>
      <family val="2"/>
    </font>
    <font>
      <sz val="10"/>
      <color rgb="FF404040"/>
      <name val="Calibri"/>
      <family val="2"/>
    </font>
    <font>
      <sz val="10"/>
      <color rgb="FF1F497D"/>
      <name val="Calibri"/>
      <family val="2"/>
    </font>
    <font>
      <sz val="10"/>
      <color rgb="FF375623"/>
      <name val="Calibri"/>
      <family val="2"/>
    </font>
    <font>
      <b/>
      <sz val="13"/>
      <color rgb="FFFFFFFF"/>
      <name val="Calibri"/>
      <family val="2"/>
    </font>
    <font>
      <b/>
      <sz val="10"/>
      <color rgb="FF1F3864"/>
      <name val="Calibri"/>
      <family val="2"/>
    </font>
    <font>
      <sz val="9"/>
      <color rgb="FF606060"/>
      <name val="Calibri"/>
      <family val="2"/>
    </font>
    <font>
      <b/>
      <sz val="10"/>
      <color rgb="FF375623"/>
      <name val="Calibri"/>
      <family val="2"/>
    </font>
    <font>
      <b/>
      <sz val="10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DCE6F1"/>
        <bgColor rgb="FFDCE6F1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1" fontId="9" fillId="4" borderId="0" xfId="0" applyNumberFormat="1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2" fontId="9" fillId="4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2" fontId="10" fillId="5" borderId="0" xfId="0" applyNumberFormat="1" applyFont="1" applyFill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9" fontId="0" fillId="4" borderId="0" xfId="0" applyNumberFormat="1" applyFill="1"/>
    <xf numFmtId="0" fontId="0" fillId="4" borderId="0" xfId="0" applyFill="1"/>
    <xf numFmtId="0" fontId="13" fillId="0" borderId="0" xfId="0" applyFont="1" applyAlignment="1">
      <alignment horizontal="center" vertical="center"/>
    </xf>
    <xf numFmtId="3" fontId="10" fillId="5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3" fontId="14" fillId="5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3" fontId="15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12" fillId="7" borderId="0" xfId="0" applyFont="1" applyFill="1"/>
    <xf numFmtId="0" fontId="11" fillId="2" borderId="0" xfId="0" applyFont="1" applyFill="1" applyAlignment="1">
      <alignment horizontal="left" vertical="center"/>
    </xf>
    <xf numFmtId="2" fontId="3" fillId="7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E56"/>
  <sheetViews>
    <sheetView workbookViewId="0">
      <pane ySplit="4" topLeftCell="A17" activePane="bottomLeft" state="frozen"/>
      <selection pane="bottomLeft" activeCell="C33" sqref="C33"/>
    </sheetView>
  </sheetViews>
  <sheetFormatPr baseColWidth="10" defaultColWidth="8.83203125" defaultRowHeight="15" x14ac:dyDescent="0.2"/>
  <cols>
    <col min="1" max="1" width="26" customWidth="1"/>
    <col min="2" max="4" width="16" customWidth="1"/>
    <col min="5" max="5" width="22" customWidth="1"/>
  </cols>
  <sheetData>
    <row r="1" spans="1:5" ht="28" customHeight="1" x14ac:dyDescent="0.2">
      <c r="A1" s="26" t="s">
        <v>0</v>
      </c>
      <c r="B1" s="24"/>
      <c r="C1" s="24"/>
      <c r="D1" s="24"/>
      <c r="E1" s="24"/>
    </row>
    <row r="2" spans="1:5" ht="16" customHeight="1" x14ac:dyDescent="0.2">
      <c r="A2" s="25" t="s">
        <v>1</v>
      </c>
      <c r="B2" s="24"/>
      <c r="C2" s="24"/>
      <c r="D2" s="24"/>
      <c r="E2" s="24"/>
    </row>
    <row r="3" spans="1:5" ht="16" customHeight="1" x14ac:dyDescent="0.2">
      <c r="A3" s="1" t="s">
        <v>2</v>
      </c>
      <c r="B3" s="2" t="s">
        <v>3</v>
      </c>
      <c r="C3" s="3" t="s">
        <v>4</v>
      </c>
      <c r="D3" s="4" t="s">
        <v>5</v>
      </c>
    </row>
    <row r="4" spans="1:5" ht="8" customHeight="1" x14ac:dyDescent="0.2"/>
    <row r="5" spans="1:5" ht="18" customHeight="1" x14ac:dyDescent="0.2">
      <c r="A5" s="23" t="s">
        <v>6</v>
      </c>
      <c r="B5" s="24"/>
      <c r="C5" s="24"/>
      <c r="D5" s="24"/>
      <c r="E5" s="24"/>
    </row>
    <row r="6" spans="1:5" ht="18" customHeight="1" x14ac:dyDescent="0.2">
      <c r="A6" s="5" t="s">
        <v>7</v>
      </c>
      <c r="B6" s="6">
        <v>2025</v>
      </c>
      <c r="C6" s="5" t="s">
        <v>8</v>
      </c>
      <c r="D6" s="7" t="s">
        <v>9</v>
      </c>
    </row>
    <row r="7" spans="1:5" ht="18" customHeight="1" x14ac:dyDescent="0.2">
      <c r="A7" s="5" t="s">
        <v>10</v>
      </c>
      <c r="B7" s="27" t="s">
        <v>11</v>
      </c>
      <c r="C7" s="24"/>
      <c r="D7" s="24"/>
    </row>
    <row r="8" spans="1:5" ht="8" customHeight="1" x14ac:dyDescent="0.2"/>
    <row r="9" spans="1:5" ht="18" customHeight="1" x14ac:dyDescent="0.2">
      <c r="A9" s="23" t="s">
        <v>12</v>
      </c>
      <c r="B9" s="24"/>
      <c r="C9" s="24"/>
      <c r="D9" s="24"/>
      <c r="E9" s="24"/>
    </row>
    <row r="10" spans="1:5" ht="18" customHeight="1" x14ac:dyDescent="0.2">
      <c r="A10" s="5" t="s">
        <v>13</v>
      </c>
      <c r="B10" s="7" t="s">
        <v>14</v>
      </c>
      <c r="C10" s="5" t="s">
        <v>15</v>
      </c>
      <c r="D10" s="7" t="s">
        <v>16</v>
      </c>
    </row>
    <row r="11" spans="1:5" ht="18" customHeight="1" x14ac:dyDescent="0.2">
      <c r="A11" s="5" t="s">
        <v>17</v>
      </c>
      <c r="B11" s="7" t="s">
        <v>18</v>
      </c>
      <c r="C11" s="5" t="s">
        <v>19</v>
      </c>
      <c r="D11" s="7" t="s">
        <v>20</v>
      </c>
    </row>
    <row r="12" spans="1:5" ht="18" customHeight="1" x14ac:dyDescent="0.2">
      <c r="A12" s="5" t="s">
        <v>21</v>
      </c>
      <c r="B12" s="7" t="s">
        <v>22</v>
      </c>
      <c r="C12" s="5" t="s">
        <v>23</v>
      </c>
      <c r="D12" s="7" t="s">
        <v>24</v>
      </c>
    </row>
    <row r="13" spans="1:5" ht="18" customHeight="1" x14ac:dyDescent="0.2">
      <c r="C13" s="5" t="s">
        <v>25</v>
      </c>
      <c r="D13" s="7" t="s">
        <v>26</v>
      </c>
    </row>
    <row r="14" spans="1:5" ht="8" customHeight="1" x14ac:dyDescent="0.2"/>
    <row r="15" spans="1:5" ht="18" customHeight="1" x14ac:dyDescent="0.2">
      <c r="A15" s="23" t="s">
        <v>27</v>
      </c>
      <c r="B15" s="24"/>
      <c r="C15" s="24"/>
      <c r="D15" s="24"/>
      <c r="E15" s="24"/>
    </row>
    <row r="16" spans="1:5" ht="16" customHeight="1" x14ac:dyDescent="0.2">
      <c r="A16" s="8" t="s">
        <v>28</v>
      </c>
      <c r="B16" s="8" t="s">
        <v>29</v>
      </c>
      <c r="C16" s="8" t="s">
        <v>30</v>
      </c>
    </row>
    <row r="17" spans="1:5" ht="17" customHeight="1" x14ac:dyDescent="0.2">
      <c r="A17" s="5" t="s">
        <v>31</v>
      </c>
      <c r="B17" s="9">
        <v>1.05</v>
      </c>
      <c r="C17" s="4" t="s">
        <v>32</v>
      </c>
    </row>
    <row r="18" spans="1:5" ht="17" customHeight="1" x14ac:dyDescent="0.2">
      <c r="A18" s="5" t="s">
        <v>33</v>
      </c>
      <c r="B18" s="9">
        <v>1</v>
      </c>
    </row>
    <row r="19" spans="1:5" ht="17" customHeight="1" x14ac:dyDescent="0.2">
      <c r="A19" s="5" t="s">
        <v>34</v>
      </c>
      <c r="B19" s="9">
        <v>1.2</v>
      </c>
      <c r="C19" s="4" t="s">
        <v>35</v>
      </c>
    </row>
    <row r="20" spans="1:5" ht="17" customHeight="1" x14ac:dyDescent="0.2">
      <c r="A20" s="5" t="s">
        <v>36</v>
      </c>
      <c r="B20" s="9">
        <v>0.9</v>
      </c>
      <c r="C20" s="4" t="s">
        <v>37</v>
      </c>
    </row>
    <row r="21" spans="1:5" ht="17" customHeight="1" x14ac:dyDescent="0.2">
      <c r="A21" s="5" t="s">
        <v>38</v>
      </c>
      <c r="B21" s="9">
        <v>1</v>
      </c>
    </row>
    <row r="22" spans="1:5" ht="17" customHeight="1" x14ac:dyDescent="0.2">
      <c r="A22" s="5" t="s">
        <v>39</v>
      </c>
      <c r="B22" s="9">
        <v>0.85</v>
      </c>
      <c r="C22" s="4" t="s">
        <v>40</v>
      </c>
    </row>
    <row r="23" spans="1:5" ht="17" customHeight="1" x14ac:dyDescent="0.2">
      <c r="A23" s="5" t="s">
        <v>41</v>
      </c>
      <c r="B23" s="9">
        <v>0.8</v>
      </c>
      <c r="C23" s="4" t="s">
        <v>42</v>
      </c>
    </row>
    <row r="24" spans="1:5" ht="17" customHeight="1" x14ac:dyDescent="0.2">
      <c r="A24" s="5" t="s">
        <v>43</v>
      </c>
      <c r="B24" s="9">
        <v>0.85</v>
      </c>
      <c r="C24" s="4" t="s">
        <v>44</v>
      </c>
    </row>
    <row r="25" spans="1:5" ht="17" customHeight="1" x14ac:dyDescent="0.2">
      <c r="A25" s="5" t="s">
        <v>45</v>
      </c>
      <c r="B25" s="9">
        <v>1.05</v>
      </c>
      <c r="C25" s="4" t="s">
        <v>46</v>
      </c>
    </row>
    <row r="26" spans="1:5" ht="17" customHeight="1" x14ac:dyDescent="0.2">
      <c r="A26" s="5" t="s">
        <v>47</v>
      </c>
      <c r="B26" s="9">
        <v>1.05</v>
      </c>
    </row>
    <row r="27" spans="1:5" ht="17" customHeight="1" x14ac:dyDescent="0.2">
      <c r="A27" s="5" t="s">
        <v>48</v>
      </c>
      <c r="B27" s="9">
        <v>1.1000000000000001</v>
      </c>
      <c r="C27" s="4" t="s">
        <v>49</v>
      </c>
    </row>
    <row r="28" spans="1:5" ht="17" customHeight="1" x14ac:dyDescent="0.2">
      <c r="A28" s="5" t="s">
        <v>50</v>
      </c>
      <c r="B28" s="9">
        <v>1.1499999999999999</v>
      </c>
      <c r="C28" s="4" t="s">
        <v>51</v>
      </c>
    </row>
    <row r="29" spans="1:5" ht="17" customHeight="1" x14ac:dyDescent="0.2">
      <c r="A29" s="10" t="s">
        <v>52</v>
      </c>
      <c r="B29" s="11">
        <f>SUM(B17:B28)</f>
        <v>12</v>
      </c>
    </row>
    <row r="30" spans="1:5" ht="8" customHeight="1" x14ac:dyDescent="0.2"/>
    <row r="31" spans="1:5" ht="18" customHeight="1" x14ac:dyDescent="0.2">
      <c r="A31" s="23" t="s">
        <v>53</v>
      </c>
      <c r="B31" s="24"/>
      <c r="C31" s="24"/>
      <c r="D31" s="24"/>
      <c r="E31" s="24"/>
    </row>
    <row r="32" spans="1:5" ht="16" customHeight="1" x14ac:dyDescent="0.2">
      <c r="A32" s="8" t="s">
        <v>54</v>
      </c>
      <c r="B32" s="8" t="s">
        <v>14</v>
      </c>
      <c r="C32" s="8" t="s">
        <v>18</v>
      </c>
      <c r="D32" s="8" t="s">
        <v>22</v>
      </c>
    </row>
    <row r="33" spans="1:5" ht="17" customHeight="1" x14ac:dyDescent="0.2">
      <c r="A33" s="5" t="s">
        <v>16</v>
      </c>
      <c r="B33" s="12">
        <v>800</v>
      </c>
      <c r="C33" s="12">
        <v>600</v>
      </c>
      <c r="D33" s="12">
        <v>1200</v>
      </c>
    </row>
    <row r="34" spans="1:5" ht="17" customHeight="1" x14ac:dyDescent="0.2">
      <c r="A34" s="5" t="s">
        <v>20</v>
      </c>
      <c r="B34" s="12">
        <v>500</v>
      </c>
      <c r="C34" s="12">
        <v>380</v>
      </c>
      <c r="D34" s="12">
        <v>700</v>
      </c>
    </row>
    <row r="35" spans="1:5" ht="17" customHeight="1" x14ac:dyDescent="0.2">
      <c r="A35" s="5" t="s">
        <v>24</v>
      </c>
      <c r="B35" s="12">
        <v>300</v>
      </c>
      <c r="C35" s="12">
        <v>250</v>
      </c>
      <c r="D35" s="12">
        <v>500</v>
      </c>
    </row>
    <row r="36" spans="1:5" ht="17" customHeight="1" x14ac:dyDescent="0.2">
      <c r="A36" s="5" t="s">
        <v>26</v>
      </c>
      <c r="B36" s="12">
        <v>600</v>
      </c>
      <c r="C36" s="12">
        <v>450</v>
      </c>
      <c r="D36" s="12">
        <v>900</v>
      </c>
    </row>
    <row r="37" spans="1:5" ht="8" customHeight="1" x14ac:dyDescent="0.2"/>
    <row r="38" spans="1:5" ht="18" customHeight="1" x14ac:dyDescent="0.2">
      <c r="A38" s="23" t="s">
        <v>55</v>
      </c>
      <c r="B38" s="24"/>
      <c r="C38" s="24"/>
      <c r="D38" s="24"/>
      <c r="E38" s="24"/>
    </row>
    <row r="39" spans="1:5" ht="16" customHeight="1" x14ac:dyDescent="0.2">
      <c r="A39" s="8" t="s">
        <v>54</v>
      </c>
      <c r="B39" s="8" t="s">
        <v>56</v>
      </c>
      <c r="C39" s="8" t="s">
        <v>30</v>
      </c>
    </row>
    <row r="40" spans="1:5" ht="17" customHeight="1" x14ac:dyDescent="0.2">
      <c r="A40" s="5" t="s">
        <v>16</v>
      </c>
      <c r="B40" s="12">
        <v>380</v>
      </c>
      <c r="C40" s="4" t="s">
        <v>57</v>
      </c>
    </row>
    <row r="41" spans="1:5" ht="17" customHeight="1" x14ac:dyDescent="0.2">
      <c r="A41" s="5" t="s">
        <v>20</v>
      </c>
      <c r="B41" s="12">
        <v>300</v>
      </c>
    </row>
    <row r="42" spans="1:5" ht="17" customHeight="1" x14ac:dyDescent="0.2">
      <c r="A42" s="5" t="s">
        <v>24</v>
      </c>
      <c r="B42" s="12">
        <v>160</v>
      </c>
    </row>
    <row r="43" spans="1:5" ht="17" customHeight="1" x14ac:dyDescent="0.2">
      <c r="A43" s="5" t="s">
        <v>26</v>
      </c>
      <c r="B43" s="12">
        <v>130</v>
      </c>
      <c r="C43" s="4" t="s">
        <v>58</v>
      </c>
    </row>
    <row r="44" spans="1:5" ht="8" customHeight="1" x14ac:dyDescent="0.2"/>
    <row r="45" spans="1:5" ht="18" customHeight="1" x14ac:dyDescent="0.2">
      <c r="A45" s="23" t="s">
        <v>59</v>
      </c>
      <c r="B45" s="24"/>
      <c r="C45" s="24"/>
      <c r="D45" s="24"/>
      <c r="E45" s="24"/>
    </row>
    <row r="46" spans="1:5" x14ac:dyDescent="0.2">
      <c r="A46" s="8" t="s">
        <v>54</v>
      </c>
      <c r="B46" s="8" t="s">
        <v>60</v>
      </c>
    </row>
    <row r="47" spans="1:5" ht="17" customHeight="1" x14ac:dyDescent="0.2">
      <c r="A47" s="5" t="s">
        <v>16</v>
      </c>
      <c r="B47" s="13"/>
    </row>
    <row r="48" spans="1:5" ht="17" customHeight="1" x14ac:dyDescent="0.2">
      <c r="A48" s="5" t="s">
        <v>20</v>
      </c>
      <c r="B48" s="13"/>
    </row>
    <row r="49" spans="1:5" ht="17" customHeight="1" x14ac:dyDescent="0.2">
      <c r="A49" s="5" t="s">
        <v>24</v>
      </c>
      <c r="B49" s="13"/>
    </row>
    <row r="50" spans="1:5" ht="17" customHeight="1" x14ac:dyDescent="0.2">
      <c r="A50" s="5" t="s">
        <v>26</v>
      </c>
      <c r="B50" s="13"/>
    </row>
    <row r="51" spans="1:5" ht="8" customHeight="1" x14ac:dyDescent="0.2"/>
    <row r="52" spans="1:5" ht="18" customHeight="1" x14ac:dyDescent="0.2">
      <c r="A52" s="23" t="s">
        <v>61</v>
      </c>
      <c r="B52" s="24"/>
      <c r="C52" s="24"/>
      <c r="D52" s="24"/>
      <c r="E52" s="24"/>
    </row>
    <row r="53" spans="1:5" x14ac:dyDescent="0.2">
      <c r="A53" s="8" t="s">
        <v>62</v>
      </c>
      <c r="B53" s="8" t="s">
        <v>14</v>
      </c>
      <c r="C53" s="8" t="s">
        <v>18</v>
      </c>
      <c r="D53" s="8" t="s">
        <v>22</v>
      </c>
    </row>
    <row r="54" spans="1:5" ht="17" customHeight="1" x14ac:dyDescent="0.2">
      <c r="A54" s="5" t="s">
        <v>63</v>
      </c>
      <c r="B54" s="14"/>
      <c r="C54" s="14"/>
      <c r="D54" s="14"/>
    </row>
    <row r="55" spans="1:5" ht="17" customHeight="1" x14ac:dyDescent="0.2">
      <c r="A55" s="5" t="s">
        <v>64</v>
      </c>
      <c r="B55" s="14"/>
      <c r="C55" s="14"/>
      <c r="D55" s="14"/>
    </row>
    <row r="56" spans="1:5" ht="17" customHeight="1" x14ac:dyDescent="0.2">
      <c r="A56" s="5" t="s">
        <v>65</v>
      </c>
      <c r="B56" s="14"/>
      <c r="C56" s="14"/>
      <c r="D56" s="14"/>
    </row>
  </sheetData>
  <mergeCells count="10">
    <mergeCell ref="A38:E38"/>
    <mergeCell ref="A2:E2"/>
    <mergeCell ref="A15:E15"/>
    <mergeCell ref="A52:E52"/>
    <mergeCell ref="A1:E1"/>
    <mergeCell ref="A5:E5"/>
    <mergeCell ref="A45:E45"/>
    <mergeCell ref="A31:E31"/>
    <mergeCell ref="B7:D7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O39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O26" sqref="O26"/>
    </sheetView>
  </sheetViews>
  <sheetFormatPr baseColWidth="10" defaultColWidth="8.83203125" defaultRowHeight="15" x14ac:dyDescent="0.2"/>
  <cols>
    <col min="1" max="1" width="20" customWidth="1"/>
    <col min="2" max="2" width="14" customWidth="1"/>
    <col min="3" max="15" width="12" customWidth="1"/>
  </cols>
  <sheetData>
    <row r="1" spans="1:15" ht="24" customHeight="1" x14ac:dyDescent="0.2">
      <c r="A1" s="29" t="s">
        <v>66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ht="14" customHeight="1" x14ac:dyDescent="0.2">
      <c r="A2" s="25" t="s">
        <v>67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ht="8" customHeight="1" x14ac:dyDescent="0.2"/>
    <row r="4" spans="1:15" ht="16" customHeight="1" x14ac:dyDescent="0.2">
      <c r="A4" s="10" t="s">
        <v>68</v>
      </c>
      <c r="B4" s="8" t="s">
        <v>69</v>
      </c>
      <c r="C4" s="8" t="s">
        <v>70</v>
      </c>
      <c r="D4" s="8" t="s">
        <v>71</v>
      </c>
      <c r="E4" s="8" t="s">
        <v>72</v>
      </c>
      <c r="F4" s="8" t="s">
        <v>73</v>
      </c>
      <c r="G4" s="8" t="s">
        <v>38</v>
      </c>
      <c r="H4" s="8" t="s">
        <v>74</v>
      </c>
      <c r="I4" s="8" t="s">
        <v>75</v>
      </c>
      <c r="J4" s="8" t="s">
        <v>76</v>
      </c>
      <c r="K4" s="8" t="s">
        <v>77</v>
      </c>
      <c r="L4" s="8" t="s">
        <v>78</v>
      </c>
      <c r="M4" s="8" t="s">
        <v>79</v>
      </c>
      <c r="N4" s="8" t="s">
        <v>80</v>
      </c>
      <c r="O4" s="8" t="s">
        <v>81</v>
      </c>
    </row>
    <row r="5" spans="1:15" ht="16" customHeight="1" x14ac:dyDescent="0.2">
      <c r="A5" s="10" t="s">
        <v>98</v>
      </c>
      <c r="B5" s="8"/>
      <c r="C5" s="30" cm="1">
        <f t="array" ref="C5">INDEX(Assumptions!$B$17:$B$28,COLUMN()-2)</f>
        <v>1.05</v>
      </c>
      <c r="D5" s="30" cm="1">
        <f t="array" ref="D5">INDEX(Assumptions!$B$17:$B$28,COLUMN()-2)</f>
        <v>1</v>
      </c>
      <c r="E5" s="30" cm="1">
        <f t="array" ref="E5">INDEX(Assumptions!$B$17:$B$28,COLUMN()-2)</f>
        <v>1.2</v>
      </c>
      <c r="F5" s="30" cm="1">
        <f t="array" ref="F5">INDEX(Assumptions!$B$17:$B$28,COLUMN()-2)</f>
        <v>0.9</v>
      </c>
      <c r="G5" s="30" cm="1">
        <f t="array" ref="G5">INDEX(Assumptions!$B$17:$B$28,COLUMN()-2)</f>
        <v>1</v>
      </c>
      <c r="H5" s="30" cm="1">
        <f t="array" ref="H5">INDEX(Assumptions!$B$17:$B$28,COLUMN()-2)</f>
        <v>0.85</v>
      </c>
      <c r="I5" s="30" cm="1">
        <f t="array" ref="I5">INDEX(Assumptions!$B$17:$B$28,COLUMN()-2)</f>
        <v>0.8</v>
      </c>
      <c r="J5" s="30" cm="1">
        <f t="array" ref="J5">INDEX(Assumptions!$B$17:$B$28,COLUMN()-2)</f>
        <v>0.85</v>
      </c>
      <c r="K5" s="30" cm="1">
        <f t="array" ref="K5">INDEX(Assumptions!$B$17:$B$28,COLUMN()-2)</f>
        <v>1.05</v>
      </c>
      <c r="L5" s="30" cm="1">
        <f t="array" ref="L5">INDEX(Assumptions!$B$17:$B$28,COLUMN()-2)</f>
        <v>1.05</v>
      </c>
      <c r="M5" s="30" cm="1">
        <f t="array" ref="M5">INDEX(Assumptions!$B$17:$B$28,COLUMN()-2)</f>
        <v>1.1000000000000001</v>
      </c>
      <c r="N5" s="30" cm="1">
        <f t="array" ref="N5">INDEX(Assumptions!$B$17:$B$28,COLUMN()-2)</f>
        <v>1.1499999999999999</v>
      </c>
      <c r="O5" s="30">
        <f>SUM(C5:N5)</f>
        <v>12</v>
      </c>
    </row>
    <row r="6" spans="1:15" ht="16" customHeight="1" x14ac:dyDescent="0.2">
      <c r="A6" s="28" t="s">
        <v>14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</row>
    <row r="7" spans="1:15" ht="16" customHeight="1" x14ac:dyDescent="0.2">
      <c r="A7" s="5" t="s">
        <v>16</v>
      </c>
      <c r="B7" s="15" t="s">
        <v>82</v>
      </c>
      <c r="C7" s="16">
        <f>Assumptions!$B$33*'Revenue Build'!C$5</f>
        <v>840</v>
      </c>
      <c r="D7" s="16">
        <f>Assumptions!$B$33*'Revenue Build'!D5</f>
        <v>800</v>
      </c>
      <c r="E7" s="16">
        <f>Assumptions!$B$33*'Revenue Build'!E5</f>
        <v>960</v>
      </c>
      <c r="F7" s="16">
        <f>Assumptions!$B$33*'Revenue Build'!F5</f>
        <v>720</v>
      </c>
      <c r="G7" s="16">
        <f>Assumptions!$B$33*'Revenue Build'!G5</f>
        <v>800</v>
      </c>
      <c r="H7" s="16">
        <f>Assumptions!$B$33*'Revenue Build'!H5</f>
        <v>680</v>
      </c>
      <c r="I7" s="16">
        <f>Assumptions!$B$33*'Revenue Build'!I5</f>
        <v>640</v>
      </c>
      <c r="J7" s="16">
        <f>Assumptions!$B$33*'Revenue Build'!J5</f>
        <v>680</v>
      </c>
      <c r="K7" s="16">
        <f>Assumptions!$B$33*'Revenue Build'!K5</f>
        <v>840</v>
      </c>
      <c r="L7" s="16">
        <f>Assumptions!$B$33*'Revenue Build'!L5</f>
        <v>840</v>
      </c>
      <c r="M7" s="16">
        <f>Assumptions!$B$33*'Revenue Build'!M5</f>
        <v>880.00000000000011</v>
      </c>
      <c r="N7" s="16">
        <f>Assumptions!$B$33*'Revenue Build'!N5</f>
        <v>919.99999999999989</v>
      </c>
      <c r="O7" s="16">
        <f>SUM(C7:N7)</f>
        <v>9600</v>
      </c>
    </row>
    <row r="8" spans="1:15" ht="16" customHeight="1" x14ac:dyDescent="0.2">
      <c r="A8" s="5"/>
      <c r="B8" s="15" t="s">
        <v>83</v>
      </c>
      <c r="C8" s="16">
        <f>Assumptions!$B$40*'Revenue Build'!C7</f>
        <v>319200</v>
      </c>
      <c r="D8" s="16">
        <f>Assumptions!$B$40*'Revenue Build'!D7</f>
        <v>304000</v>
      </c>
      <c r="E8" s="16">
        <f>Assumptions!$B$40*'Revenue Build'!E7</f>
        <v>364800</v>
      </c>
      <c r="F8" s="16">
        <f>Assumptions!$B$40*'Revenue Build'!F7</f>
        <v>273600</v>
      </c>
      <c r="G8" s="16">
        <f>Assumptions!$B$40*'Revenue Build'!G7</f>
        <v>304000</v>
      </c>
      <c r="H8" s="16">
        <f>Assumptions!$B$40*'Revenue Build'!H7</f>
        <v>258400</v>
      </c>
      <c r="I8" s="16">
        <f>Assumptions!$B$40*'Revenue Build'!I7</f>
        <v>243200</v>
      </c>
      <c r="J8" s="16">
        <f>Assumptions!$B$40*'Revenue Build'!J7</f>
        <v>258400</v>
      </c>
      <c r="K8" s="16">
        <f>Assumptions!$B$40*'Revenue Build'!K7</f>
        <v>319200</v>
      </c>
      <c r="L8" s="16">
        <f>Assumptions!$B$40*'Revenue Build'!L7</f>
        <v>319200</v>
      </c>
      <c r="M8" s="16">
        <f>Assumptions!$B$40*'Revenue Build'!M7</f>
        <v>334400.00000000006</v>
      </c>
      <c r="N8" s="16">
        <f>Assumptions!$B$40*'Revenue Build'!N7</f>
        <v>349599.99999999994</v>
      </c>
      <c r="O8" s="16">
        <f>SUM(C8:N8)</f>
        <v>3648000</v>
      </c>
    </row>
    <row r="9" spans="1:15" ht="16" customHeight="1" x14ac:dyDescent="0.2">
      <c r="A9" s="5" t="s">
        <v>20</v>
      </c>
      <c r="B9" s="15" t="s">
        <v>82</v>
      </c>
      <c r="C9" s="16">
        <f>Assumptions!$B$34*'Revenue Build'!C$5</f>
        <v>525</v>
      </c>
      <c r="D9" s="16">
        <f>Assumptions!$B$34*'Revenue Build'!D$5</f>
        <v>500</v>
      </c>
      <c r="E9" s="16">
        <f>Assumptions!$B$34*'Revenue Build'!E$5</f>
        <v>600</v>
      </c>
      <c r="F9" s="16">
        <f>Assumptions!$B$34*'Revenue Build'!F$5</f>
        <v>450</v>
      </c>
      <c r="G9" s="16">
        <f>Assumptions!$B$34*'Revenue Build'!G$5</f>
        <v>500</v>
      </c>
      <c r="H9" s="16">
        <f>Assumptions!$B$34*'Revenue Build'!H$5</f>
        <v>425</v>
      </c>
      <c r="I9" s="16">
        <f>Assumptions!$B$34*'Revenue Build'!I$5</f>
        <v>400</v>
      </c>
      <c r="J9" s="16">
        <f>Assumptions!$B$34*'Revenue Build'!J$5</f>
        <v>425</v>
      </c>
      <c r="K9" s="16">
        <f>Assumptions!$B$34*'Revenue Build'!K$5</f>
        <v>525</v>
      </c>
      <c r="L9" s="16">
        <f>Assumptions!$B$34*'Revenue Build'!L$5</f>
        <v>525</v>
      </c>
      <c r="M9" s="16">
        <f>Assumptions!$B$34*'Revenue Build'!M$5</f>
        <v>550</v>
      </c>
      <c r="N9" s="16">
        <f>Assumptions!$B$34*'Revenue Build'!N$5</f>
        <v>575</v>
      </c>
      <c r="O9" s="16">
        <f>SUM(C9:N9)</f>
        <v>6000</v>
      </c>
    </row>
    <row r="10" spans="1:15" ht="16" customHeight="1" x14ac:dyDescent="0.2">
      <c r="A10" s="5"/>
      <c r="B10" s="15" t="s">
        <v>83</v>
      </c>
      <c r="C10" s="16">
        <f>C9*Assumptions!$B$41</f>
        <v>157500</v>
      </c>
      <c r="D10" s="16">
        <f>D9*Assumptions!$B$41</f>
        <v>150000</v>
      </c>
      <c r="E10" s="16">
        <f>E9*Assumptions!$B$41</f>
        <v>180000</v>
      </c>
      <c r="F10" s="16">
        <f>F9*Assumptions!$B$41</f>
        <v>135000</v>
      </c>
      <c r="G10" s="16">
        <f>G9*Assumptions!$B$41</f>
        <v>150000</v>
      </c>
      <c r="H10" s="16">
        <f>H9*Assumptions!$B$41</f>
        <v>127500</v>
      </c>
      <c r="I10" s="16">
        <f>I9*Assumptions!$B$41</f>
        <v>120000</v>
      </c>
      <c r="J10" s="16">
        <f>J9*Assumptions!$B$41</f>
        <v>127500</v>
      </c>
      <c r="K10" s="16">
        <f>K9*Assumptions!$B$41</f>
        <v>157500</v>
      </c>
      <c r="L10" s="16">
        <f>L9*Assumptions!$B$41</f>
        <v>157500</v>
      </c>
      <c r="M10" s="16">
        <f>M9*Assumptions!$B$41</f>
        <v>165000</v>
      </c>
      <c r="N10" s="16">
        <f>N9*Assumptions!$B$41</f>
        <v>172500</v>
      </c>
      <c r="O10" s="16">
        <f>SUM(C10:N10)</f>
        <v>1800000</v>
      </c>
    </row>
    <row r="11" spans="1:15" ht="16" customHeight="1" x14ac:dyDescent="0.2">
      <c r="A11" s="5" t="s">
        <v>24</v>
      </c>
      <c r="B11" s="15" t="s">
        <v>82</v>
      </c>
      <c r="C11" s="16">
        <f>Assumptions!$B$35*'Revenue Build'!C$5</f>
        <v>315</v>
      </c>
      <c r="D11" s="16">
        <f>Assumptions!$B$35*'Revenue Build'!D$5</f>
        <v>300</v>
      </c>
      <c r="E11" s="16">
        <f>Assumptions!$B$35*'Revenue Build'!E$5</f>
        <v>360</v>
      </c>
      <c r="F11" s="16">
        <f>Assumptions!$B$35*'Revenue Build'!F$5</f>
        <v>270</v>
      </c>
      <c r="G11" s="16">
        <f>Assumptions!$B$35*'Revenue Build'!G$5</f>
        <v>300</v>
      </c>
      <c r="H11" s="16">
        <f>Assumptions!$B$35*'Revenue Build'!H$5</f>
        <v>255</v>
      </c>
      <c r="I11" s="16">
        <f>Assumptions!$B$35*'Revenue Build'!I$5</f>
        <v>240</v>
      </c>
      <c r="J11" s="16">
        <f>Assumptions!$B$35*'Revenue Build'!J$5</f>
        <v>255</v>
      </c>
      <c r="K11" s="16">
        <f>Assumptions!$B$35*'Revenue Build'!K$5</f>
        <v>315</v>
      </c>
      <c r="L11" s="16">
        <f>Assumptions!$B$35*'Revenue Build'!L$5</f>
        <v>315</v>
      </c>
      <c r="M11" s="16">
        <f>Assumptions!$B$35*'Revenue Build'!M$5</f>
        <v>330</v>
      </c>
      <c r="N11" s="16">
        <f>Assumptions!$B$35*'Revenue Build'!N$5</f>
        <v>345</v>
      </c>
      <c r="O11" s="16">
        <f>SUM(C11:N11)</f>
        <v>3600</v>
      </c>
    </row>
    <row r="12" spans="1:15" ht="16" customHeight="1" x14ac:dyDescent="0.2">
      <c r="A12" s="5"/>
      <c r="B12" s="15" t="s">
        <v>83</v>
      </c>
      <c r="C12" s="16">
        <f>C11*Assumptions!$B$42</f>
        <v>50400</v>
      </c>
      <c r="D12" s="16">
        <f>D11*Assumptions!$B$42</f>
        <v>48000</v>
      </c>
      <c r="E12" s="16">
        <f>E11*Assumptions!$B$42</f>
        <v>57600</v>
      </c>
      <c r="F12" s="16">
        <f>F11*Assumptions!$B$42</f>
        <v>43200</v>
      </c>
      <c r="G12" s="16">
        <f>G11*Assumptions!$B$42</f>
        <v>48000</v>
      </c>
      <c r="H12" s="16">
        <f>H11*Assumptions!$B$42</f>
        <v>40800</v>
      </c>
      <c r="I12" s="16">
        <f>I11*Assumptions!$B$42</f>
        <v>38400</v>
      </c>
      <c r="J12" s="16">
        <f>J11*Assumptions!$B$42</f>
        <v>40800</v>
      </c>
      <c r="K12" s="16">
        <f>K11*Assumptions!$B$42</f>
        <v>50400</v>
      </c>
      <c r="L12" s="16">
        <f>L11*Assumptions!$B$42</f>
        <v>50400</v>
      </c>
      <c r="M12" s="16">
        <f>M11*Assumptions!$B$42</f>
        <v>52800</v>
      </c>
      <c r="N12" s="16">
        <f>N11*Assumptions!$B$42</f>
        <v>55200</v>
      </c>
      <c r="O12" s="16">
        <f>SUM(C12:N12)</f>
        <v>576000</v>
      </c>
    </row>
    <row r="13" spans="1:15" ht="16" customHeight="1" x14ac:dyDescent="0.2">
      <c r="A13" s="5" t="s">
        <v>26</v>
      </c>
      <c r="B13" s="15" t="s">
        <v>82</v>
      </c>
      <c r="C13" s="16">
        <f>Assumptions!$B$36*'Revenue Build'!C$5</f>
        <v>630</v>
      </c>
      <c r="D13" s="16">
        <f>Assumptions!$B$36*'Revenue Build'!D$5</f>
        <v>600</v>
      </c>
      <c r="E13" s="16">
        <f>Assumptions!$B$36*'Revenue Build'!E$5</f>
        <v>720</v>
      </c>
      <c r="F13" s="16">
        <f>Assumptions!$B$36*'Revenue Build'!F$5</f>
        <v>540</v>
      </c>
      <c r="G13" s="16">
        <f>Assumptions!$B$36*'Revenue Build'!G$5</f>
        <v>600</v>
      </c>
      <c r="H13" s="16">
        <f>Assumptions!$B$36*'Revenue Build'!H$5</f>
        <v>510</v>
      </c>
      <c r="I13" s="16">
        <f>Assumptions!$B$36*'Revenue Build'!I$5</f>
        <v>480</v>
      </c>
      <c r="J13" s="16">
        <f>Assumptions!$B$36*'Revenue Build'!J$5</f>
        <v>510</v>
      </c>
      <c r="K13" s="16">
        <f>Assumptions!$B$36*'Revenue Build'!K$5</f>
        <v>630</v>
      </c>
      <c r="L13" s="16">
        <f>Assumptions!$B$36*'Revenue Build'!L$5</f>
        <v>630</v>
      </c>
      <c r="M13" s="16">
        <f>Assumptions!$B$36*'Revenue Build'!M$5</f>
        <v>660</v>
      </c>
      <c r="N13" s="16">
        <f>Assumptions!$B$36*'Revenue Build'!N$5</f>
        <v>690</v>
      </c>
      <c r="O13" s="16">
        <f>SUM(C13:N13)</f>
        <v>7200</v>
      </c>
    </row>
    <row r="14" spans="1:15" ht="16" customHeight="1" x14ac:dyDescent="0.2">
      <c r="A14" s="5"/>
      <c r="B14" s="15" t="s">
        <v>83</v>
      </c>
      <c r="C14" s="16">
        <f>C13*Assumptions!$B$43</f>
        <v>81900</v>
      </c>
      <c r="D14" s="16">
        <f>D13*Assumptions!$B$43</f>
        <v>78000</v>
      </c>
      <c r="E14" s="16">
        <f>E13*Assumptions!$B$43</f>
        <v>93600</v>
      </c>
      <c r="F14" s="16">
        <f>F13*Assumptions!$B$43</f>
        <v>70200</v>
      </c>
      <c r="G14" s="16">
        <f>G13*Assumptions!$B$43</f>
        <v>78000</v>
      </c>
      <c r="H14" s="16">
        <f>H13*Assumptions!$B$43</f>
        <v>66300</v>
      </c>
      <c r="I14" s="16">
        <f>I13*Assumptions!$B$43</f>
        <v>62400</v>
      </c>
      <c r="J14" s="16">
        <f>J13*Assumptions!$B$43</f>
        <v>66300</v>
      </c>
      <c r="K14" s="16">
        <f>K13*Assumptions!$B$43</f>
        <v>81900</v>
      </c>
      <c r="L14" s="16">
        <f>L13*Assumptions!$B$43</f>
        <v>81900</v>
      </c>
      <c r="M14" s="16">
        <f>M13*Assumptions!$B$43</f>
        <v>85800</v>
      </c>
      <c r="N14" s="16">
        <f>N13*Assumptions!$B$43</f>
        <v>89700</v>
      </c>
      <c r="O14" s="16">
        <f>SUM(C14:N14)</f>
        <v>936000</v>
      </c>
    </row>
    <row r="15" spans="1:15" ht="16" customHeight="1" x14ac:dyDescent="0.2">
      <c r="A15" s="17" t="s">
        <v>84</v>
      </c>
      <c r="B15" s="18" t="s">
        <v>9</v>
      </c>
      <c r="C15" s="19">
        <f>C8+C10+C12+C14</f>
        <v>609000</v>
      </c>
      <c r="D15" s="19">
        <f t="shared" ref="D15:O15" si="0">D8+D10+D12+D14</f>
        <v>580000</v>
      </c>
      <c r="E15" s="19">
        <f t="shared" si="0"/>
        <v>696000</v>
      </c>
      <c r="F15" s="19">
        <f t="shared" si="0"/>
        <v>522000</v>
      </c>
      <c r="G15" s="19">
        <f t="shared" si="0"/>
        <v>580000</v>
      </c>
      <c r="H15" s="19">
        <f t="shared" si="0"/>
        <v>493000</v>
      </c>
      <c r="I15" s="19">
        <f t="shared" si="0"/>
        <v>464000</v>
      </c>
      <c r="J15" s="19">
        <f t="shared" si="0"/>
        <v>493000</v>
      </c>
      <c r="K15" s="19">
        <f t="shared" si="0"/>
        <v>609000</v>
      </c>
      <c r="L15" s="19">
        <f t="shared" si="0"/>
        <v>609000</v>
      </c>
      <c r="M15" s="19">
        <f t="shared" si="0"/>
        <v>638000</v>
      </c>
      <c r="N15" s="19">
        <f t="shared" si="0"/>
        <v>667000</v>
      </c>
      <c r="O15" s="19">
        <f t="shared" si="0"/>
        <v>6960000</v>
      </c>
    </row>
    <row r="17" spans="1:15" ht="16" customHeight="1" x14ac:dyDescent="0.2">
      <c r="A17" s="28" t="s">
        <v>18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</row>
    <row r="18" spans="1:15" ht="16" customHeight="1" x14ac:dyDescent="0.2">
      <c r="A18" s="5" t="s">
        <v>16</v>
      </c>
      <c r="B18" s="15" t="s">
        <v>82</v>
      </c>
      <c r="C18" s="16">
        <f>Assumptions!$C$33*'Revenue Build'!C$5</f>
        <v>630</v>
      </c>
      <c r="D18" s="16">
        <f>Assumptions!$C$33*'Revenue Build'!D$5</f>
        <v>600</v>
      </c>
      <c r="E18" s="16">
        <f>Assumptions!$C$33*'Revenue Build'!E$5</f>
        <v>720</v>
      </c>
      <c r="F18" s="16">
        <f>Assumptions!$C$33*'Revenue Build'!F$5</f>
        <v>540</v>
      </c>
      <c r="G18" s="16">
        <f>Assumptions!$C$33*'Revenue Build'!G$5</f>
        <v>600</v>
      </c>
      <c r="H18" s="16">
        <f>Assumptions!$C$33*'Revenue Build'!H$5</f>
        <v>510</v>
      </c>
      <c r="I18" s="16">
        <f>Assumptions!$C$33*'Revenue Build'!I$5</f>
        <v>480</v>
      </c>
      <c r="J18" s="16">
        <f>Assumptions!$C$33*'Revenue Build'!J$5</f>
        <v>510</v>
      </c>
      <c r="K18" s="16">
        <f>Assumptions!$C$33*'Revenue Build'!K$5</f>
        <v>630</v>
      </c>
      <c r="L18" s="16">
        <f>Assumptions!$C$33*'Revenue Build'!L$5</f>
        <v>630</v>
      </c>
      <c r="M18" s="16">
        <f>Assumptions!$C$33*'Revenue Build'!M$5</f>
        <v>660</v>
      </c>
      <c r="N18" s="16">
        <f>Assumptions!$C$33*'Revenue Build'!N$5</f>
        <v>690</v>
      </c>
      <c r="O18" s="16">
        <f>SUM(C18:N18)</f>
        <v>7200</v>
      </c>
    </row>
    <row r="19" spans="1:15" ht="16" customHeight="1" x14ac:dyDescent="0.2">
      <c r="A19" s="5"/>
      <c r="B19" s="15" t="s">
        <v>83</v>
      </c>
      <c r="C19" s="16">
        <f>Assumptions!$B$40*'Revenue Build'!C18</f>
        <v>239400</v>
      </c>
      <c r="D19" s="16">
        <f>Assumptions!$B$40*'Revenue Build'!D18</f>
        <v>228000</v>
      </c>
      <c r="E19" s="16">
        <f>Assumptions!$B$40*'Revenue Build'!E18</f>
        <v>273600</v>
      </c>
      <c r="F19" s="16">
        <f>Assumptions!$B$40*'Revenue Build'!F18</f>
        <v>205200</v>
      </c>
      <c r="G19" s="16">
        <f>Assumptions!$B$40*'Revenue Build'!G18</f>
        <v>228000</v>
      </c>
      <c r="H19" s="16">
        <f>Assumptions!$B$40*'Revenue Build'!H18</f>
        <v>193800</v>
      </c>
      <c r="I19" s="16">
        <f>Assumptions!$B$40*'Revenue Build'!I18</f>
        <v>182400</v>
      </c>
      <c r="J19" s="16">
        <f>Assumptions!$B$40*'Revenue Build'!J18</f>
        <v>193800</v>
      </c>
      <c r="K19" s="16">
        <f>Assumptions!$B$40*'Revenue Build'!K18</f>
        <v>239400</v>
      </c>
      <c r="L19" s="16">
        <f>Assumptions!$B$40*'Revenue Build'!L18</f>
        <v>239400</v>
      </c>
      <c r="M19" s="16">
        <f>Assumptions!$B$40*'Revenue Build'!M18</f>
        <v>250800</v>
      </c>
      <c r="N19" s="16">
        <f>Assumptions!$B$40*'Revenue Build'!N18</f>
        <v>262200</v>
      </c>
      <c r="O19" s="16">
        <f>SUM(C19:N19)</f>
        <v>2736000</v>
      </c>
    </row>
    <row r="20" spans="1:15" ht="16" customHeight="1" x14ac:dyDescent="0.2">
      <c r="A20" s="5" t="s">
        <v>20</v>
      </c>
      <c r="B20" s="15" t="s">
        <v>82</v>
      </c>
      <c r="C20" s="16">
        <f>Assumptions!$C$34*'Revenue Build'!C$5</f>
        <v>399</v>
      </c>
      <c r="D20" s="16">
        <f>Assumptions!$C$34*'Revenue Build'!D$5</f>
        <v>380</v>
      </c>
      <c r="E20" s="16">
        <f>Assumptions!$C$34*'Revenue Build'!E$5</f>
        <v>456</v>
      </c>
      <c r="F20" s="16">
        <f>Assumptions!$C$34*'Revenue Build'!F$5</f>
        <v>342</v>
      </c>
      <c r="G20" s="16">
        <f>Assumptions!$C$34*'Revenue Build'!G$5</f>
        <v>380</v>
      </c>
      <c r="H20" s="16">
        <f>Assumptions!$C$34*'Revenue Build'!H$5</f>
        <v>323</v>
      </c>
      <c r="I20" s="16">
        <f>Assumptions!$C$34*'Revenue Build'!I$5</f>
        <v>304</v>
      </c>
      <c r="J20" s="16">
        <f>Assumptions!$C$34*'Revenue Build'!J$5</f>
        <v>323</v>
      </c>
      <c r="K20" s="16">
        <f>Assumptions!$C$34*'Revenue Build'!K$5</f>
        <v>399</v>
      </c>
      <c r="L20" s="16">
        <f>Assumptions!$C$34*'Revenue Build'!L$5</f>
        <v>399</v>
      </c>
      <c r="M20" s="16">
        <f>Assumptions!$C$34*'Revenue Build'!M$5</f>
        <v>418.00000000000006</v>
      </c>
      <c r="N20" s="16">
        <f>Assumptions!$C$34*'Revenue Build'!N$5</f>
        <v>436.99999999999994</v>
      </c>
      <c r="O20" s="16">
        <f t="shared" ref="O19:O25" si="1">SUM(C20:N20)</f>
        <v>4560</v>
      </c>
    </row>
    <row r="21" spans="1:15" ht="16" customHeight="1" x14ac:dyDescent="0.2">
      <c r="A21" s="5"/>
      <c r="B21" s="15" t="s">
        <v>83</v>
      </c>
      <c r="C21" s="16">
        <f>C20*Assumptions!$B$41</f>
        <v>119700</v>
      </c>
      <c r="D21" s="16">
        <f>D20*Assumptions!$B$41</f>
        <v>114000</v>
      </c>
      <c r="E21" s="16">
        <f>E20*Assumptions!$B$41</f>
        <v>136800</v>
      </c>
      <c r="F21" s="16">
        <f>F20*Assumptions!$B$41</f>
        <v>102600</v>
      </c>
      <c r="G21" s="16">
        <f>G20*Assumptions!$B$41</f>
        <v>114000</v>
      </c>
      <c r="H21" s="16">
        <f>H20*Assumptions!$B$41</f>
        <v>96900</v>
      </c>
      <c r="I21" s="16">
        <f>I20*Assumptions!$B$41</f>
        <v>91200</v>
      </c>
      <c r="J21" s="16">
        <f>J20*Assumptions!$B$41</f>
        <v>96900</v>
      </c>
      <c r="K21" s="16">
        <f>K20*Assumptions!$B$41</f>
        <v>119700</v>
      </c>
      <c r="L21" s="16">
        <f>L20*Assumptions!$B$41</f>
        <v>119700</v>
      </c>
      <c r="M21" s="16">
        <f>M20*Assumptions!$B$41</f>
        <v>125400.00000000001</v>
      </c>
      <c r="N21" s="16">
        <f>N20*Assumptions!$B$41</f>
        <v>131099.99999999997</v>
      </c>
      <c r="O21" s="16">
        <f t="shared" si="1"/>
        <v>1368000</v>
      </c>
    </row>
    <row r="22" spans="1:15" ht="16" customHeight="1" x14ac:dyDescent="0.2">
      <c r="A22" s="5" t="s">
        <v>24</v>
      </c>
      <c r="B22" s="15" t="s">
        <v>82</v>
      </c>
      <c r="C22" s="16">
        <f>Assumptions!$C$35*'Revenue Build'!C$5</f>
        <v>262.5</v>
      </c>
      <c r="D22" s="16">
        <f>Assumptions!$C$35*'Revenue Build'!D$5</f>
        <v>250</v>
      </c>
      <c r="E22" s="16">
        <f>Assumptions!$C$35*'Revenue Build'!E$5</f>
        <v>300</v>
      </c>
      <c r="F22" s="16">
        <f>Assumptions!$C$35*'Revenue Build'!F$5</f>
        <v>225</v>
      </c>
      <c r="G22" s="16">
        <f>Assumptions!$C$35*'Revenue Build'!G$5</f>
        <v>250</v>
      </c>
      <c r="H22" s="16">
        <f>Assumptions!$C$35*'Revenue Build'!H$5</f>
        <v>212.5</v>
      </c>
      <c r="I22" s="16">
        <f>Assumptions!$C$35*'Revenue Build'!I$5</f>
        <v>200</v>
      </c>
      <c r="J22" s="16">
        <f>Assumptions!$C$35*'Revenue Build'!J$5</f>
        <v>212.5</v>
      </c>
      <c r="K22" s="16">
        <f>Assumptions!$C$35*'Revenue Build'!K$5</f>
        <v>262.5</v>
      </c>
      <c r="L22" s="16">
        <f>Assumptions!$C$35*'Revenue Build'!L$5</f>
        <v>262.5</v>
      </c>
      <c r="M22" s="16">
        <f>Assumptions!$C$35*'Revenue Build'!M$5</f>
        <v>275</v>
      </c>
      <c r="N22" s="16">
        <f>Assumptions!$C$35*'Revenue Build'!N$5</f>
        <v>287.5</v>
      </c>
      <c r="O22" s="16">
        <f t="shared" si="1"/>
        <v>3000</v>
      </c>
    </row>
    <row r="23" spans="1:15" ht="16" customHeight="1" x14ac:dyDescent="0.2">
      <c r="A23" s="5"/>
      <c r="B23" s="15" t="s">
        <v>83</v>
      </c>
      <c r="C23" s="16">
        <f>C22*Assumptions!$B$42</f>
        <v>42000</v>
      </c>
      <c r="D23" s="16">
        <f>D22*Assumptions!$B$42</f>
        <v>40000</v>
      </c>
      <c r="E23" s="16">
        <f>E22*Assumptions!$B$42</f>
        <v>48000</v>
      </c>
      <c r="F23" s="16">
        <f>F22*Assumptions!$B$42</f>
        <v>36000</v>
      </c>
      <c r="G23" s="16">
        <f>G22*Assumptions!$B$42</f>
        <v>40000</v>
      </c>
      <c r="H23" s="16">
        <f>H22*Assumptions!$B$42</f>
        <v>34000</v>
      </c>
      <c r="I23" s="16">
        <f>I22*Assumptions!$B$42</f>
        <v>32000</v>
      </c>
      <c r="J23" s="16">
        <f>J22*Assumptions!$B$42</f>
        <v>34000</v>
      </c>
      <c r="K23" s="16">
        <f>K22*Assumptions!$B$42</f>
        <v>42000</v>
      </c>
      <c r="L23" s="16">
        <f>L22*Assumptions!$B$42</f>
        <v>42000</v>
      </c>
      <c r="M23" s="16">
        <f>M22*Assumptions!$B$42</f>
        <v>44000</v>
      </c>
      <c r="N23" s="16">
        <f>N22*Assumptions!$B$42</f>
        <v>46000</v>
      </c>
      <c r="O23" s="16">
        <f t="shared" si="1"/>
        <v>480000</v>
      </c>
    </row>
    <row r="24" spans="1:15" ht="16" customHeight="1" x14ac:dyDescent="0.2">
      <c r="A24" s="5" t="s">
        <v>26</v>
      </c>
      <c r="B24" s="15" t="s">
        <v>82</v>
      </c>
      <c r="C24" s="16">
        <f>Assumptions!$C$36*'Revenue Build'!C$5</f>
        <v>472.5</v>
      </c>
      <c r="D24" s="16">
        <f>Assumptions!$C$36*'Revenue Build'!D$5</f>
        <v>450</v>
      </c>
      <c r="E24" s="16">
        <f>Assumptions!$C$36*'Revenue Build'!E$5</f>
        <v>540</v>
      </c>
      <c r="F24" s="16">
        <f>Assumptions!$C$36*'Revenue Build'!F$5</f>
        <v>405</v>
      </c>
      <c r="G24" s="16">
        <f>Assumptions!$C$36*'Revenue Build'!G$5</f>
        <v>450</v>
      </c>
      <c r="H24" s="16">
        <f>Assumptions!$C$36*'Revenue Build'!H$5</f>
        <v>382.5</v>
      </c>
      <c r="I24" s="16">
        <f>Assumptions!$C$36*'Revenue Build'!I$5</f>
        <v>360</v>
      </c>
      <c r="J24" s="16">
        <f>Assumptions!$C$36*'Revenue Build'!J$5</f>
        <v>382.5</v>
      </c>
      <c r="K24" s="16">
        <f>Assumptions!$C$36*'Revenue Build'!K$5</f>
        <v>472.5</v>
      </c>
      <c r="L24" s="16">
        <f>Assumptions!$C$36*'Revenue Build'!L$5</f>
        <v>472.5</v>
      </c>
      <c r="M24" s="16">
        <f>Assumptions!$C$36*'Revenue Build'!M$5</f>
        <v>495.00000000000006</v>
      </c>
      <c r="N24" s="16">
        <f>Assumptions!$C$36*'Revenue Build'!N$5</f>
        <v>517.5</v>
      </c>
      <c r="O24" s="16">
        <f t="shared" si="1"/>
        <v>5400</v>
      </c>
    </row>
    <row r="25" spans="1:15" ht="16" customHeight="1" x14ac:dyDescent="0.2">
      <c r="A25" s="5"/>
      <c r="B25" s="15" t="s">
        <v>83</v>
      </c>
      <c r="C25" s="16">
        <f>C24*Assumptions!$B$43</f>
        <v>61425</v>
      </c>
      <c r="D25" s="16">
        <f>D24*Assumptions!$B$43</f>
        <v>58500</v>
      </c>
      <c r="E25" s="16">
        <f>E24*Assumptions!$B$43</f>
        <v>70200</v>
      </c>
      <c r="F25" s="16">
        <f>F24*Assumptions!$B$43</f>
        <v>52650</v>
      </c>
      <c r="G25" s="16">
        <f>G24*Assumptions!$B$43</f>
        <v>58500</v>
      </c>
      <c r="H25" s="16">
        <f>H24*Assumptions!$B$43</f>
        <v>49725</v>
      </c>
      <c r="I25" s="16">
        <f>I24*Assumptions!$B$43</f>
        <v>46800</v>
      </c>
      <c r="J25" s="16">
        <f>J24*Assumptions!$B$43</f>
        <v>49725</v>
      </c>
      <c r="K25" s="16">
        <f>K24*Assumptions!$B$43</f>
        <v>61425</v>
      </c>
      <c r="L25" s="16">
        <f>L24*Assumptions!$B$43</f>
        <v>61425</v>
      </c>
      <c r="M25" s="16">
        <f>M24*Assumptions!$B$43</f>
        <v>64350.000000000007</v>
      </c>
      <c r="N25" s="16">
        <f>N24*Assumptions!$B$43</f>
        <v>67275</v>
      </c>
      <c r="O25" s="16">
        <f t="shared" si="1"/>
        <v>702000</v>
      </c>
    </row>
    <row r="26" spans="1:15" ht="16" customHeight="1" x14ac:dyDescent="0.2">
      <c r="A26" s="17" t="s">
        <v>85</v>
      </c>
      <c r="B26" s="18" t="s">
        <v>9</v>
      </c>
      <c r="C26" s="19">
        <f>C19+C21+C23+C25</f>
        <v>462525</v>
      </c>
      <c r="D26" s="19">
        <f t="shared" ref="D26:O26" si="2">D19+D21+D23+D25</f>
        <v>440500</v>
      </c>
      <c r="E26" s="19">
        <f t="shared" si="2"/>
        <v>528600</v>
      </c>
      <c r="F26" s="19">
        <f t="shared" si="2"/>
        <v>396450</v>
      </c>
      <c r="G26" s="19">
        <f t="shared" si="2"/>
        <v>440500</v>
      </c>
      <c r="H26" s="19">
        <f t="shared" si="2"/>
        <v>374425</v>
      </c>
      <c r="I26" s="19">
        <f t="shared" si="2"/>
        <v>352400</v>
      </c>
      <c r="J26" s="19">
        <f t="shared" si="2"/>
        <v>374425</v>
      </c>
      <c r="K26" s="19">
        <f t="shared" si="2"/>
        <v>462525</v>
      </c>
      <c r="L26" s="19">
        <f t="shared" si="2"/>
        <v>462525</v>
      </c>
      <c r="M26" s="19">
        <f t="shared" si="2"/>
        <v>484550</v>
      </c>
      <c r="N26" s="19">
        <f t="shared" si="2"/>
        <v>506575</v>
      </c>
      <c r="O26" s="19">
        <f t="shared" si="2"/>
        <v>5286000</v>
      </c>
    </row>
    <row r="28" spans="1:15" ht="16" customHeight="1" x14ac:dyDescent="0.2">
      <c r="A28" s="28" t="s">
        <v>22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</row>
    <row r="29" spans="1:15" ht="16" customHeight="1" x14ac:dyDescent="0.2">
      <c r="A29" s="5" t="s">
        <v>16</v>
      </c>
      <c r="B29" s="15" t="s">
        <v>82</v>
      </c>
      <c r="C29" s="16">
        <f>Assumptions!$D$33*'Revenue Build'!C$5</f>
        <v>1260</v>
      </c>
      <c r="D29" s="16">
        <f>Assumptions!$D$33*'Revenue Build'!D$5</f>
        <v>1200</v>
      </c>
      <c r="E29" s="16">
        <f>Assumptions!$D$33*'Revenue Build'!E$5</f>
        <v>1440</v>
      </c>
      <c r="F29" s="16">
        <f>Assumptions!$D$33*'Revenue Build'!F$5</f>
        <v>1080</v>
      </c>
      <c r="G29" s="16">
        <f>Assumptions!$D$33*'Revenue Build'!G$5</f>
        <v>1200</v>
      </c>
      <c r="H29" s="16">
        <f>Assumptions!$D$33*'Revenue Build'!H$5</f>
        <v>1020</v>
      </c>
      <c r="I29" s="16">
        <f>Assumptions!$D$33*'Revenue Build'!I$5</f>
        <v>960</v>
      </c>
      <c r="J29" s="16">
        <f>Assumptions!$D$33*'Revenue Build'!J$5</f>
        <v>1020</v>
      </c>
      <c r="K29" s="16">
        <f>Assumptions!$D$33*'Revenue Build'!K$5</f>
        <v>1260</v>
      </c>
      <c r="L29" s="16">
        <f>Assumptions!$D$33*'Revenue Build'!L$5</f>
        <v>1260</v>
      </c>
      <c r="M29" s="16">
        <f>Assumptions!$D$33*'Revenue Build'!M$5</f>
        <v>1320</v>
      </c>
      <c r="N29" s="16">
        <f>Assumptions!$D$33*'Revenue Build'!N$5</f>
        <v>1380</v>
      </c>
      <c r="O29" s="16">
        <f>SUM(C29:N29)</f>
        <v>14400</v>
      </c>
    </row>
    <row r="30" spans="1:15" ht="16" customHeight="1" x14ac:dyDescent="0.2">
      <c r="A30" s="5"/>
      <c r="B30" s="15" t="s">
        <v>83</v>
      </c>
      <c r="C30" s="16">
        <f>Assumptions!$B$40*'Revenue Build'!C29</f>
        <v>478800</v>
      </c>
      <c r="D30" s="16">
        <f>Assumptions!$B$40*'Revenue Build'!D29</f>
        <v>456000</v>
      </c>
      <c r="E30" s="16">
        <f>Assumptions!$B$40*'Revenue Build'!E29</f>
        <v>547200</v>
      </c>
      <c r="F30" s="16">
        <f>Assumptions!$B$40*'Revenue Build'!F29</f>
        <v>410400</v>
      </c>
      <c r="G30" s="16">
        <f>Assumptions!$B$40*'Revenue Build'!G29</f>
        <v>456000</v>
      </c>
      <c r="H30" s="16">
        <f>Assumptions!$B$40*'Revenue Build'!H29</f>
        <v>387600</v>
      </c>
      <c r="I30" s="16">
        <f>Assumptions!$B$40*'Revenue Build'!I29</f>
        <v>364800</v>
      </c>
      <c r="J30" s="16">
        <f>Assumptions!$B$40*'Revenue Build'!J29</f>
        <v>387600</v>
      </c>
      <c r="K30" s="16">
        <f>Assumptions!$B$40*'Revenue Build'!K29</f>
        <v>478800</v>
      </c>
      <c r="L30" s="16">
        <f>Assumptions!$B$40*'Revenue Build'!L29</f>
        <v>478800</v>
      </c>
      <c r="M30" s="16">
        <f>Assumptions!$B$40*'Revenue Build'!M29</f>
        <v>501600</v>
      </c>
      <c r="N30" s="16">
        <f>Assumptions!$B$40*'Revenue Build'!N29</f>
        <v>524400</v>
      </c>
      <c r="O30" s="16">
        <f t="shared" ref="O30:O36" si="3">SUM(C30:N30)</f>
        <v>5472000</v>
      </c>
    </row>
    <row r="31" spans="1:15" ht="16" customHeight="1" x14ac:dyDescent="0.2">
      <c r="A31" s="5" t="s">
        <v>20</v>
      </c>
      <c r="B31" s="15" t="s">
        <v>82</v>
      </c>
      <c r="C31" s="16">
        <f>Assumptions!$D$34*'Revenue Build'!C$5</f>
        <v>735</v>
      </c>
      <c r="D31" s="16">
        <f>Assumptions!$D$34*'Revenue Build'!D$5</f>
        <v>700</v>
      </c>
      <c r="E31" s="16">
        <f>Assumptions!$D$34*'Revenue Build'!E$5</f>
        <v>840</v>
      </c>
      <c r="F31" s="16">
        <f>Assumptions!$D$34*'Revenue Build'!F$5</f>
        <v>630</v>
      </c>
      <c r="G31" s="16">
        <f>Assumptions!$D$34*'Revenue Build'!G$5</f>
        <v>700</v>
      </c>
      <c r="H31" s="16">
        <f>Assumptions!$D$34*'Revenue Build'!H$5</f>
        <v>595</v>
      </c>
      <c r="I31" s="16">
        <f>Assumptions!$D$34*'Revenue Build'!I$5</f>
        <v>560</v>
      </c>
      <c r="J31" s="16">
        <f>Assumptions!$D$34*'Revenue Build'!J$5</f>
        <v>595</v>
      </c>
      <c r="K31" s="16">
        <f>Assumptions!$D$34*'Revenue Build'!K$5</f>
        <v>735</v>
      </c>
      <c r="L31" s="16">
        <f>Assumptions!$D$34*'Revenue Build'!L$5</f>
        <v>735</v>
      </c>
      <c r="M31" s="16">
        <f>Assumptions!$D$34*'Revenue Build'!M$5</f>
        <v>770.00000000000011</v>
      </c>
      <c r="N31" s="16">
        <f>Assumptions!$D$34*'Revenue Build'!N$5</f>
        <v>804.99999999999989</v>
      </c>
      <c r="O31" s="16">
        <f t="shared" si="3"/>
        <v>8400</v>
      </c>
    </row>
    <row r="32" spans="1:15" ht="16" customHeight="1" x14ac:dyDescent="0.2">
      <c r="A32" s="5"/>
      <c r="B32" s="15" t="s">
        <v>83</v>
      </c>
      <c r="C32" s="16">
        <f>C31*Assumptions!$B$41</f>
        <v>220500</v>
      </c>
      <c r="D32" s="16">
        <f>D31*Assumptions!$B$41</f>
        <v>210000</v>
      </c>
      <c r="E32" s="16">
        <f>E31*Assumptions!$B$41</f>
        <v>252000</v>
      </c>
      <c r="F32" s="16">
        <f>F31*Assumptions!$B$41</f>
        <v>189000</v>
      </c>
      <c r="G32" s="16">
        <f>G31*Assumptions!$B$41</f>
        <v>210000</v>
      </c>
      <c r="H32" s="16">
        <f>H31*Assumptions!$B$41</f>
        <v>178500</v>
      </c>
      <c r="I32" s="16">
        <f>I31*Assumptions!$B$41</f>
        <v>168000</v>
      </c>
      <c r="J32" s="16">
        <f>J31*Assumptions!$B$41</f>
        <v>178500</v>
      </c>
      <c r="K32" s="16">
        <f>K31*Assumptions!$B$41</f>
        <v>220500</v>
      </c>
      <c r="L32" s="16">
        <f>L31*Assumptions!$B$41</f>
        <v>220500</v>
      </c>
      <c r="M32" s="16">
        <f>M31*Assumptions!$B$41</f>
        <v>231000.00000000003</v>
      </c>
      <c r="N32" s="16">
        <f>N31*Assumptions!$B$41</f>
        <v>241499.99999999997</v>
      </c>
      <c r="O32" s="16">
        <f t="shared" si="3"/>
        <v>2520000</v>
      </c>
    </row>
    <row r="33" spans="1:15" ht="16" customHeight="1" x14ac:dyDescent="0.2">
      <c r="A33" s="5" t="s">
        <v>24</v>
      </c>
      <c r="B33" s="15" t="s">
        <v>82</v>
      </c>
      <c r="C33" s="16">
        <f>Assumptions!$D$35*'Revenue Build'!C$5</f>
        <v>525</v>
      </c>
      <c r="D33" s="16">
        <f>Assumptions!$D$35*'Revenue Build'!D$5</f>
        <v>500</v>
      </c>
      <c r="E33" s="16">
        <f>Assumptions!$D$35*'Revenue Build'!E$5</f>
        <v>600</v>
      </c>
      <c r="F33" s="16">
        <f>Assumptions!$D$35*'Revenue Build'!F$5</f>
        <v>450</v>
      </c>
      <c r="G33" s="16">
        <f>Assumptions!$D$35*'Revenue Build'!G$5</f>
        <v>500</v>
      </c>
      <c r="H33" s="16">
        <f>Assumptions!$D$35*'Revenue Build'!H$5</f>
        <v>425</v>
      </c>
      <c r="I33" s="16">
        <f>Assumptions!$D$35*'Revenue Build'!I$5</f>
        <v>400</v>
      </c>
      <c r="J33" s="16">
        <f>Assumptions!$D$35*'Revenue Build'!J$5</f>
        <v>425</v>
      </c>
      <c r="K33" s="16">
        <f>Assumptions!$D$35*'Revenue Build'!K$5</f>
        <v>525</v>
      </c>
      <c r="L33" s="16">
        <f>Assumptions!$D$35*'Revenue Build'!L$5</f>
        <v>525</v>
      </c>
      <c r="M33" s="16">
        <f>Assumptions!$D$35*'Revenue Build'!M$5</f>
        <v>550</v>
      </c>
      <c r="N33" s="16">
        <f>Assumptions!$D$35*'Revenue Build'!N$5</f>
        <v>575</v>
      </c>
      <c r="O33" s="16">
        <f t="shared" si="3"/>
        <v>6000</v>
      </c>
    </row>
    <row r="34" spans="1:15" ht="16" customHeight="1" x14ac:dyDescent="0.2">
      <c r="A34" s="5"/>
      <c r="B34" s="15" t="s">
        <v>83</v>
      </c>
      <c r="C34" s="16">
        <f>C33*Assumptions!$B$42</f>
        <v>84000</v>
      </c>
      <c r="D34" s="16">
        <f>D33*Assumptions!$B$42</f>
        <v>80000</v>
      </c>
      <c r="E34" s="16">
        <f>E33*Assumptions!$B$42</f>
        <v>96000</v>
      </c>
      <c r="F34" s="16">
        <f>F33*Assumptions!$B$42</f>
        <v>72000</v>
      </c>
      <c r="G34" s="16">
        <f>G33*Assumptions!$B$42</f>
        <v>80000</v>
      </c>
      <c r="H34" s="16">
        <f>H33*Assumptions!$B$42</f>
        <v>68000</v>
      </c>
      <c r="I34" s="16">
        <f>I33*Assumptions!$B$42</f>
        <v>64000</v>
      </c>
      <c r="J34" s="16">
        <f>J33*Assumptions!$B$42</f>
        <v>68000</v>
      </c>
      <c r="K34" s="16">
        <f>K33*Assumptions!$B$42</f>
        <v>84000</v>
      </c>
      <c r="L34" s="16">
        <f>L33*Assumptions!$B$42</f>
        <v>84000</v>
      </c>
      <c r="M34" s="16">
        <f>M33*Assumptions!$B$42</f>
        <v>88000</v>
      </c>
      <c r="N34" s="16">
        <f>N33*Assumptions!$B$42</f>
        <v>92000</v>
      </c>
      <c r="O34" s="16">
        <f t="shared" si="3"/>
        <v>960000</v>
      </c>
    </row>
    <row r="35" spans="1:15" ht="16" customHeight="1" x14ac:dyDescent="0.2">
      <c r="A35" s="5" t="s">
        <v>26</v>
      </c>
      <c r="B35" s="15" t="s">
        <v>82</v>
      </c>
      <c r="C35" s="16">
        <f>Assumptions!$D$36*'Revenue Build'!C$5</f>
        <v>945</v>
      </c>
      <c r="D35" s="16">
        <f>Assumptions!$D$36*'Revenue Build'!D$5</f>
        <v>900</v>
      </c>
      <c r="E35" s="16">
        <f>Assumptions!$D$36*'Revenue Build'!E$5</f>
        <v>1080</v>
      </c>
      <c r="F35" s="16">
        <f>Assumptions!$D$36*'Revenue Build'!F$5</f>
        <v>810</v>
      </c>
      <c r="G35" s="16">
        <f>Assumptions!$D$36*'Revenue Build'!G$5</f>
        <v>900</v>
      </c>
      <c r="H35" s="16">
        <f>Assumptions!$D$36*'Revenue Build'!H$5</f>
        <v>765</v>
      </c>
      <c r="I35" s="16">
        <f>Assumptions!$D$36*'Revenue Build'!I$5</f>
        <v>720</v>
      </c>
      <c r="J35" s="16">
        <f>Assumptions!$D$36*'Revenue Build'!J$5</f>
        <v>765</v>
      </c>
      <c r="K35" s="16">
        <f>Assumptions!$D$36*'Revenue Build'!K$5</f>
        <v>945</v>
      </c>
      <c r="L35" s="16">
        <f>Assumptions!$D$36*'Revenue Build'!L$5</f>
        <v>945</v>
      </c>
      <c r="M35" s="16">
        <f>Assumptions!$D$36*'Revenue Build'!M$5</f>
        <v>990.00000000000011</v>
      </c>
      <c r="N35" s="16">
        <f>Assumptions!$D$36*'Revenue Build'!N$5</f>
        <v>1035</v>
      </c>
      <c r="O35" s="16">
        <f t="shared" si="3"/>
        <v>10800</v>
      </c>
    </row>
    <row r="36" spans="1:15" ht="16" customHeight="1" x14ac:dyDescent="0.2">
      <c r="A36" s="5"/>
      <c r="B36" s="15" t="s">
        <v>83</v>
      </c>
      <c r="C36" s="16">
        <f>C35*Assumptions!$B$43</f>
        <v>122850</v>
      </c>
      <c r="D36" s="16">
        <f>D35*Assumptions!$B$43</f>
        <v>117000</v>
      </c>
      <c r="E36" s="16">
        <f>E35*Assumptions!$B$43</f>
        <v>140400</v>
      </c>
      <c r="F36" s="16">
        <f>F35*Assumptions!$B$43</f>
        <v>105300</v>
      </c>
      <c r="G36" s="16">
        <f>G35*Assumptions!$B$43</f>
        <v>117000</v>
      </c>
      <c r="H36" s="16">
        <f>H35*Assumptions!$B$43</f>
        <v>99450</v>
      </c>
      <c r="I36" s="16">
        <f>I35*Assumptions!$B$43</f>
        <v>93600</v>
      </c>
      <c r="J36" s="16">
        <f>J35*Assumptions!$B$43</f>
        <v>99450</v>
      </c>
      <c r="K36" s="16">
        <f>K35*Assumptions!$B$43</f>
        <v>122850</v>
      </c>
      <c r="L36" s="16">
        <f>L35*Assumptions!$B$43</f>
        <v>122850</v>
      </c>
      <c r="M36" s="16">
        <f>M35*Assumptions!$B$43</f>
        <v>128700.00000000001</v>
      </c>
      <c r="N36" s="16">
        <f>N35*Assumptions!$B$43</f>
        <v>134550</v>
      </c>
      <c r="O36" s="16">
        <f t="shared" si="3"/>
        <v>1404000</v>
      </c>
    </row>
    <row r="37" spans="1:15" ht="16" customHeight="1" x14ac:dyDescent="0.2">
      <c r="A37" s="17" t="s">
        <v>86</v>
      </c>
      <c r="B37" s="18" t="s">
        <v>9</v>
      </c>
      <c r="C37" s="19">
        <f>C30+C32+C34+C36</f>
        <v>906150</v>
      </c>
      <c r="D37" s="19">
        <f t="shared" ref="D37" si="4">D30+D32+D34+D36</f>
        <v>863000</v>
      </c>
      <c r="E37" s="19">
        <f t="shared" ref="E37" si="5">E30+E32+E34+E36</f>
        <v>1035600</v>
      </c>
      <c r="F37" s="19">
        <f t="shared" ref="F37" si="6">F30+F32+F34+F36</f>
        <v>776700</v>
      </c>
      <c r="G37" s="19">
        <f t="shared" ref="G37" si="7">G30+G32+G34+G36</f>
        <v>863000</v>
      </c>
      <c r="H37" s="19">
        <f t="shared" ref="H37" si="8">H30+H32+H34+H36</f>
        <v>733550</v>
      </c>
      <c r="I37" s="19">
        <f t="shared" ref="I37" si="9">I30+I32+I34+I36</f>
        <v>690400</v>
      </c>
      <c r="J37" s="19">
        <f t="shared" ref="J37" si="10">J30+J32+J34+J36</f>
        <v>733550</v>
      </c>
      <c r="K37" s="19">
        <f t="shared" ref="K37" si="11">K30+K32+K34+K36</f>
        <v>906150</v>
      </c>
      <c r="L37" s="19">
        <f t="shared" ref="L37" si="12">L30+L32+L34+L36</f>
        <v>906150</v>
      </c>
      <c r="M37" s="19">
        <f t="shared" ref="M37" si="13">M30+M32+M34+M36</f>
        <v>949300</v>
      </c>
      <c r="N37" s="19">
        <f t="shared" ref="N37" si="14">N30+N32+N34+N36</f>
        <v>992450</v>
      </c>
      <c r="O37" s="19">
        <f>O30+O32+O34+O36</f>
        <v>10356000</v>
      </c>
    </row>
    <row r="39" spans="1:15" ht="18" customHeight="1" x14ac:dyDescent="0.2">
      <c r="A39" s="20" t="s">
        <v>87</v>
      </c>
      <c r="B39" s="21" t="s">
        <v>9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</row>
  </sheetData>
  <mergeCells count="5">
    <mergeCell ref="A17:O17"/>
    <mergeCell ref="A2:O2"/>
    <mergeCell ref="A1:O1"/>
    <mergeCell ref="A6:O6"/>
    <mergeCell ref="A28:O28"/>
  </mergeCells>
  <pageMargins left="0.75" right="0.75" top="1" bottom="1" header="0.5" footer="0.5"/>
  <ignoredErrors>
    <ignoredError sqref="C3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M2"/>
  <sheetViews>
    <sheetView workbookViewId="0">
      <selection sqref="A1:M1"/>
    </sheetView>
  </sheetViews>
  <sheetFormatPr baseColWidth="10" defaultColWidth="8.83203125" defaultRowHeight="15" x14ac:dyDescent="0.2"/>
  <cols>
    <col min="1" max="1" width="30" customWidth="1"/>
  </cols>
  <sheetData>
    <row r="1" spans="1:13" ht="24" customHeight="1" x14ac:dyDescent="0.2">
      <c r="A1" s="29" t="s">
        <v>88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4" customHeight="1" x14ac:dyDescent="0.2">
      <c r="A2" s="25" t="s">
        <v>89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M2"/>
  <sheetViews>
    <sheetView workbookViewId="0"/>
  </sheetViews>
  <sheetFormatPr baseColWidth="10" defaultColWidth="8.83203125" defaultRowHeight="15" x14ac:dyDescent="0.2"/>
  <cols>
    <col min="1" max="1" width="30" customWidth="1"/>
  </cols>
  <sheetData>
    <row r="1" spans="1:13" ht="24" customHeight="1" x14ac:dyDescent="0.2">
      <c r="A1" s="29" t="s">
        <v>90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4" customHeight="1" x14ac:dyDescent="0.2">
      <c r="A2" s="25" t="s">
        <v>89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03864"/>
  </sheetPr>
  <dimension ref="A1:M2"/>
  <sheetViews>
    <sheetView workbookViewId="0"/>
  </sheetViews>
  <sheetFormatPr baseColWidth="10" defaultColWidth="8.83203125" defaultRowHeight="15" x14ac:dyDescent="0.2"/>
  <cols>
    <col min="1" max="1" width="30" customWidth="1"/>
  </cols>
  <sheetData>
    <row r="1" spans="1:13" ht="24" customHeight="1" x14ac:dyDescent="0.2">
      <c r="A1" s="29" t="s">
        <v>91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4" customHeight="1" x14ac:dyDescent="0.2">
      <c r="A2" s="25" t="s">
        <v>89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M2"/>
  <sheetViews>
    <sheetView workbookViewId="0"/>
  </sheetViews>
  <sheetFormatPr baseColWidth="10" defaultColWidth="8.83203125" defaultRowHeight="15" x14ac:dyDescent="0.2"/>
  <cols>
    <col min="1" max="1" width="30" customWidth="1"/>
  </cols>
  <sheetData>
    <row r="1" spans="1:13" ht="24" customHeight="1" x14ac:dyDescent="0.2">
      <c r="A1" s="29" t="s">
        <v>92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4" customHeight="1" x14ac:dyDescent="0.2">
      <c r="A2" s="25" t="s">
        <v>93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M2"/>
  <sheetViews>
    <sheetView workbookViewId="0"/>
  </sheetViews>
  <sheetFormatPr baseColWidth="10" defaultColWidth="8.83203125" defaultRowHeight="15" x14ac:dyDescent="0.2"/>
  <cols>
    <col min="1" max="1" width="30" customWidth="1"/>
  </cols>
  <sheetData>
    <row r="1" spans="1:13" ht="24" customHeight="1" x14ac:dyDescent="0.2">
      <c r="A1" s="29" t="s">
        <v>94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4" customHeight="1" x14ac:dyDescent="0.2">
      <c r="A2" s="25" t="s">
        <v>93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</sheetData>
  <mergeCells count="2">
    <mergeCell ref="A2:M2"/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5A5A5"/>
  </sheetPr>
  <dimension ref="A1:M2"/>
  <sheetViews>
    <sheetView workbookViewId="0"/>
  </sheetViews>
  <sheetFormatPr baseColWidth="10" defaultColWidth="8.83203125" defaultRowHeight="15" x14ac:dyDescent="0.2"/>
  <cols>
    <col min="1" max="1" width="30" customWidth="1"/>
  </cols>
  <sheetData>
    <row r="1" spans="1:13" ht="24" customHeight="1" x14ac:dyDescent="0.2">
      <c r="A1" s="29" t="s">
        <v>95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4" customHeight="1" x14ac:dyDescent="0.2">
      <c r="A2" s="25" t="s">
        <v>96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M2"/>
  <sheetViews>
    <sheetView workbookViewId="0"/>
  </sheetViews>
  <sheetFormatPr baseColWidth="10" defaultColWidth="8.83203125" defaultRowHeight="15" x14ac:dyDescent="0.2"/>
  <cols>
    <col min="1" max="1" width="30" customWidth="1"/>
  </cols>
  <sheetData>
    <row r="1" spans="1:13" ht="24" customHeight="1" x14ac:dyDescent="0.2">
      <c r="A1" s="29" t="s">
        <v>97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4" customHeight="1" x14ac:dyDescent="0.2">
      <c r="A2" s="25" t="s">
        <v>96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Assumptions</vt:lpstr>
      <vt:lpstr>Revenue Build</vt:lpstr>
      <vt:lpstr>COGS Build</vt:lpstr>
      <vt:lpstr>OpEx Detail</vt:lpstr>
      <vt:lpstr>P&amp;L Summary</vt:lpstr>
      <vt:lpstr>Variance Analysis</vt:lpstr>
      <vt:lpstr>Rolling Forecast</vt:lpstr>
      <vt:lpstr>Scenario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Muhammed Ashnad K</cp:lastModifiedBy>
  <dcterms:created xsi:type="dcterms:W3CDTF">2026-08-24T20:40:40Z</dcterms:created>
  <dcterms:modified xsi:type="dcterms:W3CDTF">2026-08-25T10:12:58Z</dcterms:modified>
</cp:coreProperties>
</file>