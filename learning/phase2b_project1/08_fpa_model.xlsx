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7400" tabRatio="600" firstSheet="0" activeTab="8" autoFilterDateGrouping="1"/>
  </bookViews>
  <sheets>
    <sheet xmlns:r="http://schemas.openxmlformats.org/officeDocument/2006/relationships" name="Assumptions" sheetId="1" state="visible" r:id="rId1"/>
    <sheet xmlns:r="http://schemas.openxmlformats.org/officeDocument/2006/relationships" name="Revenue Build" sheetId="2" state="visible" r:id="rId2"/>
    <sheet xmlns:r="http://schemas.openxmlformats.org/officeDocument/2006/relationships" name="COGS Build" sheetId="3" state="visible" r:id="rId3"/>
    <sheet xmlns:r="http://schemas.openxmlformats.org/officeDocument/2006/relationships" name="OpEx Detail" sheetId="4" state="visible" r:id="rId4"/>
    <sheet xmlns:r="http://schemas.openxmlformats.org/officeDocument/2006/relationships" name="P&amp;L Summary" sheetId="5" state="visible" r:id="rId5"/>
    <sheet xmlns:r="http://schemas.openxmlformats.org/officeDocument/2006/relationships" name="Variance Analysis" sheetId="6" state="visible" r:id="rId6"/>
    <sheet xmlns:r="http://schemas.openxmlformats.org/officeDocument/2006/relationships" name="Rolling Forecast" sheetId="7" state="visible" r:id="rId7"/>
    <sheet xmlns:r="http://schemas.openxmlformats.org/officeDocument/2006/relationships" name="Scenario Analysis" sheetId="8" state="visible" r:id="rId8"/>
    <sheet xmlns:r="http://schemas.openxmlformats.org/officeDocument/2006/relationships" name="Dashboard" sheetId="9" state="visible" r:id="rId9"/>
  </sheets>
  <definedNames/>
  <calcPr calcId="191029" fullCalcOnLoad="1"/>
</workbook>
</file>

<file path=xl/styles.xml><?xml version="1.0" encoding="utf-8"?>
<styleSheet xmlns="http://schemas.openxmlformats.org/spreadsheetml/2006/main">
  <numFmts count="1">
    <numFmt numFmtId="164" formatCode="0.0%"/>
  </numFmts>
  <fonts count="103">
    <font>
      <name val="Calibri"/>
      <family val="2"/>
      <color theme="1"/>
      <sz val="11"/>
      <scheme val="minor"/>
    </font>
    <font>
      <name val="Calibri"/>
      <family val="2"/>
      <b val="1"/>
      <color rgb="FFFFFFFF"/>
      <sz val="14"/>
    </font>
    <font>
      <name val="Calibri"/>
      <family val="2"/>
      <i val="1"/>
      <color rgb="FFFFFFFF"/>
      <sz val="9"/>
    </font>
    <font>
      <name val="Calibri"/>
      <family val="2"/>
      <b val="1"/>
      <color rgb="FF1F3864"/>
      <sz val="9"/>
    </font>
    <font>
      <name val="Calibri"/>
      <family val="2"/>
      <color rgb="FF1F497D"/>
      <sz val="9"/>
    </font>
    <font>
      <name val="Calibri"/>
      <family val="2"/>
      <color rgb="FF375623"/>
      <sz val="9"/>
    </font>
    <font>
      <name val="Calibri"/>
      <family val="2"/>
      <i val="1"/>
      <color rgb="FF7F7F7F"/>
      <sz val="9"/>
    </font>
    <font>
      <name val="Calibri"/>
      <family val="2"/>
      <b val="1"/>
      <color rgb="FFFFFFFF"/>
      <sz val="9"/>
    </font>
    <font>
      <name val="Calibri"/>
      <family val="2"/>
      <color rgb="FF404040"/>
      <sz val="10"/>
    </font>
    <font>
      <name val="Calibri"/>
      <family val="2"/>
      <color rgb="FF1F497D"/>
      <sz val="10"/>
    </font>
    <font>
      <name val="Calibri"/>
      <family val="2"/>
      <color rgb="FF375623"/>
      <sz val="10"/>
    </font>
    <font>
      <name val="Calibri"/>
      <family val="2"/>
      <b val="1"/>
      <color rgb="FFFFFFFF"/>
      <sz val="13"/>
    </font>
    <font>
      <name val="Calibri"/>
      <family val="2"/>
      <b val="1"/>
      <color rgb="FF1F3864"/>
      <sz val="10"/>
    </font>
    <font>
      <name val="Calibri"/>
      <family val="2"/>
      <color rgb="FF606060"/>
      <sz val="9"/>
    </font>
    <font>
      <name val="Calibri"/>
      <family val="2"/>
      <b val="1"/>
      <color rgb="FF375623"/>
      <sz val="10"/>
    </font>
    <font>
      <name val="Calibri"/>
      <family val="2"/>
      <b val="1"/>
      <color rgb="FFFFFFFF"/>
      <sz val="10"/>
    </font>
    <font>
      <name val="Calibri"/>
      <family val="2"/>
      <color rgb="FF1F497D"/>
      <sz val="10"/>
    </font>
    <font>
      <name val="Calibri"/>
      <family val="2"/>
      <b val="1"/>
      <color rgb="FFFFFFFF"/>
      <sz val="13"/>
    </font>
    <font>
      <name val="Calibri"/>
      <family val="2"/>
      <i val="1"/>
      <color rgb="FFFFFFFF"/>
      <sz val="9"/>
    </font>
    <font>
      <name val="Calibri"/>
      <family val="2"/>
      <b val="1"/>
      <color rgb="FF1F3864"/>
      <sz val="9"/>
    </font>
    <font>
      <name val="Calibri"/>
      <family val="2"/>
      <b val="1"/>
      <color rgb="FF1F3864"/>
      <sz val="10"/>
    </font>
    <font>
      <name val="Calibri"/>
      <family val="2"/>
      <color rgb="FF404040"/>
      <sz val="10"/>
    </font>
    <font>
      <name val="Calibri"/>
      <family val="2"/>
      <color rgb="FF375623"/>
      <sz val="10"/>
    </font>
    <font>
      <name val="Calibri"/>
      <family val="2"/>
      <b val="1"/>
      <color rgb="FF375623"/>
      <sz val="10"/>
    </font>
    <font>
      <name val="Calibri"/>
      <family val="2"/>
      <color rgb="FF000000"/>
      <sz val="10"/>
    </font>
    <font>
      <name val="Calibri"/>
      <family val="2"/>
      <b val="1"/>
      <color rgb="FF1F497D"/>
      <sz val="10"/>
    </font>
    <font>
      <name val="Calibri"/>
      <family val="2"/>
      <b val="1"/>
      <color rgb="FFFFFFFF"/>
      <sz val="10"/>
    </font>
    <font>
      <name val="Calibri"/>
      <family val="2"/>
      <color rgb="FF1F497D"/>
      <sz val="10"/>
    </font>
    <font>
      <name val="Calibri"/>
      <family val="2"/>
      <b val="1"/>
      <color rgb="FFFFFFFF"/>
      <sz val="13"/>
    </font>
    <font>
      <name val="Calibri"/>
      <family val="2"/>
      <i val="1"/>
      <color rgb="FFFFFFFF"/>
      <sz val="9"/>
    </font>
    <font>
      <name val="Calibri"/>
      <family val="2"/>
      <b val="1"/>
      <color rgb="FF1F3864"/>
      <sz val="9"/>
    </font>
    <font>
      <name val="Calibri"/>
      <family val="2"/>
      <b val="1"/>
      <color rgb="FF1F3864"/>
      <sz val="10"/>
    </font>
    <font>
      <name val="Calibri"/>
      <family val="2"/>
      <color rgb="FF404040"/>
      <sz val="10"/>
    </font>
    <font>
      <name val="Calibri"/>
      <family val="2"/>
      <color rgb="FF375623"/>
      <sz val="10"/>
    </font>
    <font>
      <name val="Calibri"/>
      <family val="2"/>
      <b val="1"/>
      <color rgb="FF375623"/>
      <sz val="10"/>
    </font>
    <font>
      <name val="Calibri"/>
      <family val="2"/>
      <b val="1"/>
      <color rgb="FF1F497D"/>
      <sz val="10"/>
    </font>
    <font>
      <name val="Calibri"/>
      <family val="2"/>
      <b val="1"/>
      <color rgb="FFFFFFFF"/>
      <sz val="10"/>
    </font>
    <font>
      <name val="Calibri"/>
      <family val="2"/>
      <b val="1"/>
      <color rgb="FFFFFFFF"/>
      <sz val="13"/>
    </font>
    <font>
      <name val="Calibri"/>
      <family val="2"/>
      <i val="1"/>
      <color rgb="FFFFFFFF"/>
      <sz val="9"/>
    </font>
    <font>
      <name val="Calibri"/>
      <family val="2"/>
      <b val="1"/>
      <color rgb="FF1F3864"/>
      <sz val="9"/>
    </font>
    <font>
      <name val="Calibri"/>
      <family val="2"/>
      <color rgb="FF1F497D"/>
      <sz val="9"/>
    </font>
    <font>
      <name val="Calibri"/>
      <family val="2"/>
      <color rgb="FF375623"/>
      <sz val="9"/>
    </font>
    <font>
      <name val="Calibri"/>
      <family val="2"/>
      <color rgb="FF7F6000"/>
      <sz val="9"/>
    </font>
    <font>
      <name val="Calibri"/>
      <family val="2"/>
      <b val="1"/>
      <color rgb="FF1F3864"/>
      <sz val="8"/>
    </font>
    <font>
      <name val="Calibri"/>
      <family val="2"/>
      <b val="1"/>
      <color rgb="FFFFFFFF"/>
      <sz val="9"/>
    </font>
    <font>
      <name val="Calibri"/>
      <family val="2"/>
      <b val="1"/>
      <color rgb="FF7F6000"/>
      <sz val="9"/>
    </font>
    <font>
      <name val="Calibri"/>
      <family val="2"/>
      <b val="1"/>
      <color rgb="FF404040"/>
      <sz val="10"/>
    </font>
    <font>
      <name val="Calibri"/>
      <family val="2"/>
      <b val="1"/>
      <color rgb="FF1F497D"/>
      <sz val="10"/>
    </font>
    <font>
      <name val="Calibri"/>
      <family val="2"/>
      <b val="1"/>
      <color rgb="FF375623"/>
      <sz val="10"/>
    </font>
    <font>
      <name val="Calibri"/>
      <family val="2"/>
      <b val="1"/>
      <color rgb="FFFFFFFF"/>
      <sz val="10"/>
    </font>
    <font>
      <name val="Calibri"/>
      <family val="2"/>
      <b val="1"/>
      <color rgb="FF7F6000"/>
      <sz val="10"/>
    </font>
    <font>
      <name val="Calibri"/>
      <family val="2"/>
      <color rgb="FF404040"/>
      <sz val="10"/>
    </font>
    <font>
      <name val="Calibri"/>
      <family val="2"/>
      <color rgb="FF1F497D"/>
      <sz val="10"/>
    </font>
    <font>
      <name val="Calibri"/>
      <family val="2"/>
      <color rgb="FF375623"/>
      <sz val="10"/>
    </font>
    <font>
      <name val="Calibri"/>
      <family val="2"/>
      <color rgb="FF7F6000"/>
      <sz val="10"/>
    </font>
    <font>
      <name val="Calibri"/>
      <family val="2"/>
      <b val="1"/>
      <color rgb="FF1F3864"/>
      <sz val="10"/>
    </font>
    <font>
      <name val="Calibri"/>
      <family val="2"/>
      <b val="1"/>
      <color rgb="FFFFFFFF"/>
      <sz val="13"/>
    </font>
    <font>
      <name val="Calibri"/>
      <family val="2"/>
      <i val="1"/>
      <color rgb="FFFFFFFF"/>
      <sz val="9"/>
    </font>
    <font>
      <name val="Calibri"/>
      <family val="2"/>
      <b val="1"/>
      <color rgb="FF1F3864"/>
      <sz val="9"/>
    </font>
    <font>
      <name val="Calibri"/>
      <family val="2"/>
      <color rgb="FF1F497D"/>
      <sz val="9"/>
    </font>
    <font>
      <name val="Calibri"/>
      <family val="2"/>
      <color rgb="FF7F6000"/>
      <sz val="9"/>
    </font>
    <font>
      <name val="Calibri"/>
      <family val="2"/>
      <color rgb="FF375623"/>
      <sz val="9"/>
    </font>
    <font>
      <name val="Calibri"/>
      <family val="2"/>
      <b val="1"/>
      <color rgb="FFFFFFFF"/>
      <sz val="10"/>
    </font>
    <font>
      <name val="Calibri"/>
      <family val="2"/>
      <b val="1"/>
      <color rgb="FF1F497D"/>
      <sz val="8"/>
    </font>
    <font>
      <name val="Calibri"/>
      <family val="2"/>
      <b val="1"/>
      <color rgb="FF7F6000"/>
      <sz val="8"/>
    </font>
    <font>
      <name val="Calibri"/>
      <family val="2"/>
      <b val="1"/>
      <color rgb="FF375623"/>
      <sz val="8"/>
    </font>
    <font>
      <name val="Calibri"/>
      <family val="2"/>
      <b val="1"/>
      <color rgb="FFFFFFFF"/>
      <sz val="8"/>
    </font>
    <font>
      <name val="Calibri"/>
      <family val="2"/>
      <b val="1"/>
      <color rgb="FF404040"/>
      <sz val="10"/>
    </font>
    <font>
      <name val="Calibri"/>
      <family val="2"/>
      <color rgb="FF404040"/>
      <sz val="10"/>
    </font>
    <font>
      <name val="Calibri"/>
      <family val="2"/>
      <color rgb="FF1F497D"/>
      <sz val="10"/>
    </font>
    <font>
      <name val="Calibri"/>
      <family val="2"/>
      <color rgb="FF7F6000"/>
      <sz val="10"/>
    </font>
    <font>
      <name val="Calibri"/>
      <family val="2"/>
      <color rgb="FF375623"/>
      <sz val="10"/>
    </font>
    <font>
      <name val="Calibri"/>
      <family val="2"/>
      <b val="1"/>
      <color rgb="FF1F3864"/>
      <sz val="10"/>
    </font>
    <font>
      <name val="Calibri"/>
      <family val="2"/>
      <color rgb="FFFFFFFF"/>
      <sz val="10"/>
    </font>
    <font>
      <name val="Calibri"/>
      <family val="2"/>
      <b val="1"/>
      <color rgb="FFFFFFFF"/>
      <sz val="13"/>
    </font>
    <font>
      <name val="Calibri"/>
      <family val="2"/>
      <i val="1"/>
      <color rgb="FFFFFFFF"/>
      <sz val="9"/>
    </font>
    <font>
      <name val="Calibri"/>
      <family val="2"/>
      <b val="1"/>
      <color rgb="FF1F3864"/>
      <sz val="9"/>
    </font>
    <font>
      <name val="Calibri"/>
      <family val="2"/>
      <color rgb="FF7F6000"/>
      <sz val="9"/>
    </font>
    <font>
      <name val="Calibri"/>
      <family val="2"/>
      <color rgb="FF375623"/>
      <sz val="9"/>
    </font>
    <font>
      <name val="Calibri"/>
      <family val="2"/>
      <color rgb="FFFFFFFF"/>
      <sz val="9"/>
    </font>
    <font>
      <name val="Calibri"/>
      <family val="2"/>
      <b val="1"/>
      <color rgb="FF7F6000"/>
      <sz val="8"/>
    </font>
    <font>
      <name val="Calibri"/>
      <family val="2"/>
      <b val="1"/>
      <color rgb="FF1F3864"/>
      <sz val="8"/>
    </font>
    <font>
      <name val="Calibri"/>
      <family val="2"/>
      <b val="1"/>
      <color rgb="FFFFFFFF"/>
      <sz val="9"/>
    </font>
    <font>
      <name val="Calibri"/>
      <family val="2"/>
      <i val="1"/>
      <color rgb="FF7F7F7F"/>
      <sz val="8"/>
    </font>
    <font>
      <name val="Calibri"/>
      <family val="2"/>
      <b val="1"/>
      <color rgb="FF404040"/>
      <sz val="10"/>
    </font>
    <font>
      <name val="Calibri"/>
      <family val="2"/>
      <b val="1"/>
      <color rgb="FF7F6000"/>
      <sz val="10"/>
    </font>
    <font>
      <name val="Calibri"/>
      <family val="2"/>
      <b val="1"/>
      <color rgb="FF375623"/>
      <sz val="10"/>
    </font>
    <font>
      <name val="Calibri"/>
      <family val="2"/>
      <b val="1"/>
      <color rgb="FFFFFFFF"/>
      <sz val="10"/>
    </font>
    <font>
      <name val="Calibri"/>
      <family val="2"/>
      <color rgb="FF404040"/>
      <sz val="10"/>
    </font>
    <font>
      <name val="Calibri"/>
      <family val="2"/>
      <color rgb="FF7F6000"/>
      <sz val="10"/>
    </font>
    <font>
      <name val="Calibri"/>
      <family val="2"/>
      <color rgb="FF375623"/>
      <sz val="10"/>
    </font>
    <font>
      <name val="Calibri"/>
      <family val="2"/>
      <b val="1"/>
      <color rgb="FF1F3864"/>
      <sz val="10"/>
    </font>
    <font>
      <name val="Calibri"/>
      <family val="2"/>
      <b val="1"/>
      <color rgb="FF1F497D"/>
      <sz val="9"/>
    </font>
    <font>
      <name val="Calibri"/>
      <family val="2"/>
      <b val="1"/>
      <color rgb="FF375623"/>
      <sz val="9"/>
    </font>
    <font>
      <name val="Calibri"/>
      <family val="2"/>
      <b val="1"/>
      <color rgb="FF9C0006"/>
      <sz val="9"/>
    </font>
    <font>
      <name val="Calibri"/>
      <family val="2"/>
      <color rgb="FF1F497D"/>
      <sz val="10"/>
    </font>
    <font>
      <name val="Calibri"/>
      <family val="2"/>
      <color rgb="FF9C0006"/>
      <sz val="10"/>
    </font>
    <font>
      <name val="Calibri"/>
      <family val="2"/>
      <b val="1"/>
      <color rgb="FF1F497D"/>
      <sz val="10"/>
    </font>
    <font>
      <name val="Calibri"/>
      <family val="2"/>
      <b val="1"/>
      <color rgb="FF9C0006"/>
      <sz val="10"/>
    </font>
    <font>
      <name val="Calibri"/>
      <family val="2"/>
      <b val="1"/>
      <color rgb="FFFFFFFF"/>
      <sz val="8"/>
    </font>
    <font>
      <name val="Calibri"/>
      <family val="2"/>
      <b val="1"/>
      <color rgb="FF375623"/>
      <sz val="14"/>
    </font>
    <font>
      <name val="Calibri"/>
      <family val="2"/>
      <i val="1"/>
      <color rgb="FFFFFFFF"/>
      <sz val="7"/>
    </font>
    <font>
      <name val="Calibri"/>
      <family val="2"/>
      <b val="1"/>
      <color rgb="FF7F6000"/>
      <sz val="9"/>
    </font>
  </fonts>
  <fills count="45">
    <fill>
      <patternFill/>
    </fill>
    <fill>
      <patternFill patternType="gray125"/>
    </fill>
    <fill>
      <patternFill patternType="solid">
        <fgColor rgb="FF1F3864"/>
        <bgColor rgb="FF1F3864"/>
      </patternFill>
    </fill>
    <fill>
      <patternFill patternType="solid">
        <fgColor rgb="FF2E75B6"/>
        <bgColor rgb="FF2E75B6"/>
      </patternFill>
    </fill>
    <fill>
      <patternFill patternType="solid">
        <fgColor rgb="FFDCE6F1"/>
        <bgColor rgb="FFDCE6F1"/>
      </patternFill>
    </fill>
    <fill>
      <patternFill patternType="solid">
        <fgColor rgb="FFE2EFDA"/>
        <bgColor rgb="FFE2EFDA"/>
      </patternFill>
    </fill>
    <fill>
      <patternFill patternType="solid">
        <fgColor rgb="FFF2F2F2"/>
        <bgColor rgb="FFF2F2F2"/>
      </patternFill>
    </fill>
    <fill>
      <patternFill patternType="solid">
        <fgColor rgb="FFD6E4F0"/>
        <bgColor rgb="FFD6E4F0"/>
      </patternFill>
    </fill>
    <fill>
      <patternFill patternType="solid">
        <fgColor rgb="FFDCE6F1"/>
        <bgColor rgb="FFDCE6F1"/>
      </patternFill>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F2F2F2"/>
        <bgColor rgb="FFF2F2F2"/>
      </patternFill>
    </fill>
    <fill>
      <patternFill patternType="solid">
        <fgColor rgb="FFE2EFDA"/>
        <bgColor rgb="FFE2EFDA"/>
      </patternFill>
    </fill>
    <fill>
      <patternFill patternType="solid">
        <fgColor rgb="FFDCE6F1"/>
        <bgColor rgb="FFDCE6F1"/>
      </patternFill>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F2F2F2"/>
        <bgColor rgb="FFF2F2F2"/>
      </patternFill>
    </fill>
    <fill>
      <patternFill patternType="solid">
        <fgColor rgb="FFE2EFDA"/>
        <bgColor rgb="FFE2EFDA"/>
      </patternFill>
    </fill>
    <fill>
      <patternFill patternType="solid">
        <fgColor rgb="FF1F3864"/>
        <bgColor rgb="FF1F3864"/>
      </patternFill>
    </fill>
    <fill>
      <patternFill patternType="solid">
        <fgColor rgb="FF2E75B6"/>
        <bgColor rgb="FF2E75B6"/>
      </patternFill>
    </fill>
    <fill>
      <patternFill patternType="solid">
        <fgColor rgb="FFDCE6F1"/>
        <bgColor rgb="FFDCE6F1"/>
      </patternFill>
    </fill>
    <fill>
      <patternFill patternType="solid">
        <fgColor rgb="FFE2EFDA"/>
        <bgColor rgb="FFE2EFDA"/>
      </patternFill>
    </fill>
    <fill>
      <patternFill patternType="solid">
        <fgColor rgb="FFFFF2CC"/>
        <bgColor rgb="FFFFF2CC"/>
      </patternFill>
    </fill>
    <fill>
      <patternFill patternType="solid">
        <fgColor rgb="FFD6E4F0"/>
        <bgColor rgb="FFD6E4F0"/>
      </patternFill>
    </fill>
    <fill>
      <patternFill patternType="solid">
        <fgColor rgb="FF203864"/>
        <bgColor rgb="FF203864"/>
      </patternFill>
    </fill>
    <fill>
      <patternFill patternType="solid">
        <fgColor rgb="FFF2F2F2"/>
        <bgColor rgb="FFF2F2F2"/>
      </patternFill>
    </fill>
    <fill>
      <patternFill patternType="solid">
        <fgColor rgb="FF1F3864"/>
        <bgColor rgb="FF1F3864"/>
      </patternFill>
    </fill>
    <fill>
      <patternFill patternType="solid">
        <fgColor rgb="FF2E75B6"/>
        <bgColor rgb="FF2E75B6"/>
      </patternFill>
    </fill>
    <fill>
      <patternFill patternType="solid">
        <fgColor rgb="FFDCE6F1"/>
        <bgColor rgb="FFDCE6F1"/>
      </patternFill>
    </fill>
    <fill>
      <patternFill patternType="solid">
        <fgColor rgb="FFFFF2CC"/>
        <bgColor rgb="FFFFF2CC"/>
      </patternFill>
    </fill>
    <fill>
      <patternFill patternType="solid">
        <fgColor rgb="FFE2EFDA"/>
        <bgColor rgb="FFE2EFDA"/>
      </patternFill>
    </fill>
    <fill>
      <patternFill patternType="solid">
        <fgColor rgb="FF203864"/>
        <bgColor rgb="FF203864"/>
      </patternFill>
    </fill>
    <fill>
      <patternFill patternType="solid">
        <fgColor rgb="FFF2F2F2"/>
        <bgColor rgb="FFF2F2F2"/>
      </patternFill>
    </fill>
    <fill>
      <patternFill patternType="solid">
        <fgColor rgb="FFD6E4F0"/>
        <bgColor rgb="FFD6E4F0"/>
      </patternFill>
    </fill>
    <fill>
      <patternFill patternType="solid">
        <fgColor rgb="FF1F3864"/>
        <bgColor rgb="FF1F3864"/>
      </patternFill>
    </fill>
    <fill>
      <patternFill patternType="solid">
        <fgColor rgb="FF2E75B6"/>
        <bgColor rgb="FF2E75B6"/>
      </patternFill>
    </fill>
    <fill>
      <patternFill patternType="solid">
        <fgColor rgb="FFFFF2CC"/>
        <bgColor rgb="FFFFF2CC"/>
      </patternFill>
    </fill>
    <fill>
      <patternFill patternType="solid">
        <fgColor rgb="FFE2EFDA"/>
        <bgColor rgb="FFE2EFDA"/>
      </patternFill>
    </fill>
    <fill>
      <patternFill patternType="solid">
        <fgColor rgb="FF203864"/>
        <bgColor rgb="FF203864"/>
      </patternFill>
    </fill>
    <fill>
      <patternFill patternType="solid">
        <fgColor rgb="FFD6E4F0"/>
        <bgColor rgb="FFD6E4F0"/>
      </patternFill>
    </fill>
    <fill>
      <patternFill patternType="solid">
        <fgColor rgb="FFF2F2F2"/>
        <bgColor rgb="FFF2F2F2"/>
      </patternFill>
    </fill>
    <fill>
      <patternFill patternType="solid">
        <fgColor rgb="FFDCE6F1"/>
        <bgColor rgb="FFDCE6F1"/>
      </patternFill>
    </fill>
    <fill>
      <patternFill patternType="solid">
        <fgColor rgb="FFFFE0E0"/>
        <bgColor rgb="FFFFE0E0"/>
      </patternFill>
    </fill>
  </fills>
  <borders count="1">
    <border>
      <left/>
      <right/>
      <top/>
      <bottom/>
      <diagonal/>
    </border>
  </borders>
  <cellStyleXfs count="1">
    <xf numFmtId="0" fontId="0" fillId="0" borderId="0"/>
  </cellStyleXfs>
  <cellXfs count="159">
    <xf numFmtId="0" fontId="0" fillId="0" borderId="0" pivotButton="0" quotePrefix="0" xfId="0"/>
    <xf numFmtId="0" fontId="3" fillId="0" borderId="0" applyAlignment="1" pivotButton="0" quotePrefix="0" xfId="0">
      <alignment horizontal="left" vertical="center"/>
    </xf>
    <xf numFmtId="0" fontId="4" fillId="4" borderId="0" applyAlignment="1" pivotButton="0" quotePrefix="0" xfId="0">
      <alignment horizontal="center" vertical="center"/>
    </xf>
    <xf numFmtId="0" fontId="5" fillId="5" borderId="0" applyAlignment="1" pivotButton="0" quotePrefix="0" xfId="0">
      <alignment horizontal="center" vertical="center"/>
    </xf>
    <xf numFmtId="0" fontId="6" fillId="0" borderId="0" applyAlignment="1" pivotButton="0" quotePrefix="0" xfId="0">
      <alignment horizontal="left" vertical="center"/>
    </xf>
    <xf numFmtId="0" fontId="8" fillId="6" borderId="0" applyAlignment="1" pivotButton="0" quotePrefix="0" xfId="0">
      <alignment horizontal="left" vertical="center"/>
    </xf>
    <xf numFmtId="1" fontId="9" fillId="4" borderId="0" applyAlignment="1" pivotButton="0" quotePrefix="0" xfId="0">
      <alignment horizontal="center" vertical="center"/>
    </xf>
    <xf numFmtId="0" fontId="9" fillId="4" borderId="0" applyAlignment="1" pivotButton="0" quotePrefix="0" xfId="0">
      <alignment horizontal="center" vertical="center"/>
    </xf>
    <xf numFmtId="0" fontId="3" fillId="7" borderId="0" applyAlignment="1" pivotButton="0" quotePrefix="0" xfId="0">
      <alignment horizontal="center" vertical="center"/>
    </xf>
    <xf numFmtId="2" fontId="9" fillId="4" borderId="0" applyAlignment="1" pivotButton="0" quotePrefix="0" xfId="0">
      <alignment horizontal="center" vertical="center"/>
    </xf>
    <xf numFmtId="0" fontId="3" fillId="7" borderId="0" applyAlignment="1" pivotButton="0" quotePrefix="0" xfId="0">
      <alignment horizontal="left" vertical="center"/>
    </xf>
    <xf numFmtId="2" fontId="10" fillId="5" borderId="0" applyAlignment="1" pivotButton="0" quotePrefix="0" xfId="0">
      <alignment horizontal="center" vertical="center"/>
    </xf>
    <xf numFmtId="3" fontId="9" fillId="4" borderId="0" applyAlignment="1" pivotButton="0" quotePrefix="0" xfId="0">
      <alignment horizontal="center" vertical="center"/>
    </xf>
    <xf numFmtId="0" fontId="13" fillId="0" borderId="0" applyAlignment="1" pivotButton="0" quotePrefix="0" xfId="0">
      <alignment horizontal="center" vertical="center"/>
    </xf>
    <xf numFmtId="3" fontId="10" fillId="5" borderId="0" applyAlignment="1" pivotButton="0" quotePrefix="0" xfId="0">
      <alignment horizontal="center" vertical="center"/>
    </xf>
    <xf numFmtId="0" fontId="12" fillId="4" borderId="0" applyAlignment="1" pivotButton="0" quotePrefix="0" xfId="0">
      <alignment horizontal="left" vertical="center"/>
    </xf>
    <xf numFmtId="0" fontId="3" fillId="4" borderId="0" applyAlignment="1" pivotButton="0" quotePrefix="0" xfId="0">
      <alignment horizontal="center" vertical="center"/>
    </xf>
    <xf numFmtId="3" fontId="14" fillId="5" borderId="0" applyAlignment="1" pivotButton="0" quotePrefix="0" xfId="0">
      <alignment horizontal="center" vertical="center"/>
    </xf>
    <xf numFmtId="0" fontId="15" fillId="2" borderId="0" applyAlignment="1" pivotButton="0" quotePrefix="0" xfId="0">
      <alignment horizontal="left" vertical="center"/>
    </xf>
    <xf numFmtId="0" fontId="7" fillId="2" borderId="0" applyAlignment="1" pivotButton="0" quotePrefix="0" xfId="0">
      <alignment horizontal="center" vertical="center"/>
    </xf>
    <xf numFmtId="3" fontId="15" fillId="2" borderId="0" applyAlignment="1" pivotButton="0" quotePrefix="0" xfId="0">
      <alignment horizontal="center" vertical="center"/>
    </xf>
    <xf numFmtId="2" fontId="3" fillId="7" borderId="0" applyAlignment="1" pivotButton="0" quotePrefix="0" xfId="0">
      <alignment horizontal="center" vertical="center"/>
    </xf>
    <xf numFmtId="9" fontId="16" fillId="8" borderId="0" applyAlignment="1" pivotButton="0" quotePrefix="0" xfId="0">
      <alignment horizontal="center" vertical="center"/>
    </xf>
    <xf numFmtId="0" fontId="19" fillId="11" borderId="0" applyAlignment="1" pivotButton="0" quotePrefix="0" xfId="0">
      <alignment horizontal="left" vertical="center"/>
    </xf>
    <xf numFmtId="0" fontId="19" fillId="11" borderId="0" applyAlignment="1" pivotButton="0" quotePrefix="0" xfId="0">
      <alignment horizontal="center" vertical="center"/>
    </xf>
    <xf numFmtId="0" fontId="21" fillId="12" borderId="0" applyAlignment="1" pivotButton="0" quotePrefix="0" xfId="0">
      <alignment horizontal="left" vertical="center"/>
    </xf>
    <xf numFmtId="9" fontId="22" fillId="13" borderId="0" applyAlignment="1" pivotButton="0" quotePrefix="0" xfId="0">
      <alignment horizontal="center" vertical="center"/>
    </xf>
    <xf numFmtId="3" fontId="22" fillId="13" borderId="0" applyAlignment="1" pivotButton="0" quotePrefix="0" xfId="0">
      <alignment horizontal="center" vertical="center"/>
    </xf>
    <xf numFmtId="3" fontId="23" fillId="13" borderId="0" applyAlignment="1" pivotButton="0" quotePrefix="0" xfId="0">
      <alignment horizontal="center" vertical="center"/>
    </xf>
    <xf numFmtId="0" fontId="20" fillId="8" borderId="0" applyAlignment="1" pivotButton="0" quotePrefix="0" xfId="0">
      <alignment horizontal="left" vertical="center"/>
    </xf>
    <xf numFmtId="0" fontId="24" fillId="8" borderId="0" applyAlignment="1" pivotButton="0" quotePrefix="0" xfId="0">
      <alignment horizontal="left" vertical="center"/>
    </xf>
    <xf numFmtId="3" fontId="25" fillId="8" borderId="0" applyAlignment="1" pivotButton="0" quotePrefix="0" xfId="0">
      <alignment horizontal="center" vertical="center"/>
    </xf>
    <xf numFmtId="0" fontId="26" fillId="9" borderId="0" applyAlignment="1" pivotButton="0" quotePrefix="0" xfId="0">
      <alignment horizontal="left" vertical="center"/>
    </xf>
    <xf numFmtId="0" fontId="0" fillId="9" borderId="0" pivotButton="0" quotePrefix="0" xfId="0"/>
    <xf numFmtId="3" fontId="26" fillId="9" borderId="0" applyAlignment="1" pivotButton="0" quotePrefix="0" xfId="0">
      <alignment horizontal="center" vertical="center"/>
    </xf>
    <xf numFmtId="3" fontId="24" fillId="8" borderId="0" applyAlignment="1" pivotButton="0" quotePrefix="0" xfId="0">
      <alignment horizontal="left" vertical="center"/>
    </xf>
    <xf numFmtId="3" fontId="27" fillId="14" borderId="0" applyAlignment="1" pivotButton="0" quotePrefix="0" xfId="0">
      <alignment horizontal="center" vertical="center"/>
    </xf>
    <xf numFmtId="9" fontId="27" fillId="14" borderId="0" applyAlignment="1" pivotButton="0" quotePrefix="0" xfId="0">
      <alignment horizontal="center" vertical="center"/>
    </xf>
    <xf numFmtId="0" fontId="30" fillId="17" borderId="0" applyAlignment="1" pivotButton="0" quotePrefix="0" xfId="0">
      <alignment horizontal="left" vertical="center"/>
    </xf>
    <xf numFmtId="0" fontId="30" fillId="17" borderId="0" applyAlignment="1" pivotButton="0" quotePrefix="0" xfId="0">
      <alignment horizontal="center" vertical="center"/>
    </xf>
    <xf numFmtId="0" fontId="32" fillId="18" borderId="0" applyAlignment="1" pivotButton="0" quotePrefix="0" xfId="0">
      <alignment horizontal="left" vertical="center"/>
    </xf>
    <xf numFmtId="3" fontId="33" fillId="19" borderId="0" applyAlignment="1" pivotButton="0" quotePrefix="0" xfId="0">
      <alignment horizontal="center" vertical="center"/>
    </xf>
    <xf numFmtId="3" fontId="34" fillId="19" borderId="0" applyAlignment="1" pivotButton="0" quotePrefix="0" xfId="0">
      <alignment horizontal="center" vertical="center"/>
    </xf>
    <xf numFmtId="0" fontId="31" fillId="14" borderId="0" applyAlignment="1" pivotButton="0" quotePrefix="0" xfId="0">
      <alignment horizontal="left" vertical="center"/>
    </xf>
    <xf numFmtId="3" fontId="35" fillId="14" borderId="0" applyAlignment="1" pivotButton="0" quotePrefix="0" xfId="0">
      <alignment horizontal="center" vertical="center"/>
    </xf>
    <xf numFmtId="0" fontId="36" fillId="15" borderId="0" applyAlignment="1" pivotButton="0" quotePrefix="0" xfId="0">
      <alignment horizontal="left" vertical="center"/>
    </xf>
    <xf numFmtId="3" fontId="36" fillId="15" borderId="0" applyAlignment="1" pivotButton="0" quotePrefix="0" xfId="0">
      <alignment horizontal="center" vertical="center"/>
    </xf>
    <xf numFmtId="0" fontId="39" fillId="0" borderId="0" applyAlignment="1" pivotButton="0" quotePrefix="0" xfId="0">
      <alignment horizontal="left" vertical="center"/>
    </xf>
    <xf numFmtId="0" fontId="40" fillId="22" borderId="0" applyAlignment="1" pivotButton="0" quotePrefix="0" xfId="0">
      <alignment horizontal="center" vertical="center"/>
    </xf>
    <xf numFmtId="0" fontId="41" fillId="23" borderId="0" applyAlignment="1" pivotButton="0" quotePrefix="0" xfId="0">
      <alignment horizontal="center" vertical="center"/>
    </xf>
    <xf numFmtId="0" fontId="42" fillId="24" borderId="0" applyAlignment="1" pivotButton="0" quotePrefix="0" xfId="0">
      <alignment horizontal="center" vertical="center"/>
    </xf>
    <xf numFmtId="0" fontId="39" fillId="25" borderId="0" applyAlignment="1" pivotButton="0" quotePrefix="0" xfId="0">
      <alignment horizontal="left" vertical="center"/>
    </xf>
    <xf numFmtId="0" fontId="39" fillId="25" borderId="0" applyAlignment="1" pivotButton="0" quotePrefix="0" xfId="0">
      <alignment horizontal="center" vertical="center"/>
    </xf>
    <xf numFmtId="0" fontId="43" fillId="25" borderId="0" applyAlignment="1" pivotButton="0" quotePrefix="0" xfId="0">
      <alignment horizontal="center" vertical="center"/>
    </xf>
    <xf numFmtId="0" fontId="44" fillId="26" borderId="0" applyAlignment="1" pivotButton="0" quotePrefix="0" xfId="0">
      <alignment horizontal="center" vertical="center"/>
    </xf>
    <xf numFmtId="0" fontId="45" fillId="24" borderId="0" applyAlignment="1" pivotButton="0" quotePrefix="0" xfId="0">
      <alignment horizontal="center" vertical="center"/>
    </xf>
    <xf numFmtId="0" fontId="46" fillId="27" borderId="0" applyAlignment="1" pivotButton="0" quotePrefix="0" xfId="0">
      <alignment horizontal="left" vertical="center"/>
    </xf>
    <xf numFmtId="3" fontId="47" fillId="22" borderId="0" applyAlignment="1" pivotButton="0" quotePrefix="0" xfId="0">
      <alignment horizontal="center" vertical="center"/>
    </xf>
    <xf numFmtId="3" fontId="48" fillId="23" borderId="0" applyAlignment="1" pivotButton="0" quotePrefix="0" xfId="0">
      <alignment horizontal="center" vertical="center"/>
    </xf>
    <xf numFmtId="3" fontId="49" fillId="26" borderId="0" applyAlignment="1" pivotButton="0" quotePrefix="0" xfId="0">
      <alignment horizontal="center" vertical="center"/>
    </xf>
    <xf numFmtId="3" fontId="50" fillId="24" borderId="0" applyAlignment="1" pivotButton="0" quotePrefix="0" xfId="0">
      <alignment horizontal="center" vertical="center"/>
    </xf>
    <xf numFmtId="0" fontId="51" fillId="27" borderId="0" applyAlignment="1" pivotButton="0" quotePrefix="0" xfId="0">
      <alignment horizontal="left" vertical="center"/>
    </xf>
    <xf numFmtId="3" fontId="52" fillId="22" borderId="0" applyAlignment="1" pivotButton="0" quotePrefix="0" xfId="0">
      <alignment horizontal="center" vertical="center"/>
    </xf>
    <xf numFmtId="3" fontId="53" fillId="23" borderId="0" applyAlignment="1" pivotButton="0" quotePrefix="0" xfId="0">
      <alignment horizontal="center" vertical="center"/>
    </xf>
    <xf numFmtId="3" fontId="54" fillId="24" borderId="0" applyAlignment="1" pivotButton="0" quotePrefix="0" xfId="0">
      <alignment horizontal="center" vertical="center"/>
    </xf>
    <xf numFmtId="0" fontId="55" fillId="25" borderId="0" applyAlignment="1" pivotButton="0" quotePrefix="0" xfId="0">
      <alignment horizontal="left" vertical="center"/>
    </xf>
    <xf numFmtId="164" fontId="53" fillId="23" borderId="0" applyAlignment="1" pivotButton="0" quotePrefix="0" xfId="0">
      <alignment horizontal="center" vertical="center"/>
    </xf>
    <xf numFmtId="10" fontId="49" fillId="26" borderId="0" applyAlignment="1" pivotButton="0" quotePrefix="0" xfId="0">
      <alignment horizontal="center" vertical="center"/>
    </xf>
    <xf numFmtId="0" fontId="58" fillId="0" borderId="0" applyAlignment="1" pivotButton="0" quotePrefix="0" xfId="0">
      <alignment horizontal="left" vertical="center"/>
    </xf>
    <xf numFmtId="0" fontId="59" fillId="30" borderId="0" applyAlignment="1" pivotButton="0" quotePrefix="0" xfId="0">
      <alignment horizontal="center" vertical="center"/>
    </xf>
    <xf numFmtId="0" fontId="60" fillId="31" borderId="0" applyAlignment="1" pivotButton="0" quotePrefix="0" xfId="0">
      <alignment horizontal="center" vertical="center"/>
    </xf>
    <xf numFmtId="0" fontId="61" fillId="32" borderId="0" applyAlignment="1" pivotButton="0" quotePrefix="0" xfId="0">
      <alignment horizontal="center" vertical="center"/>
    </xf>
    <xf numFmtId="0" fontId="62" fillId="33" borderId="0" applyAlignment="1" pivotButton="0" quotePrefix="0" xfId="0">
      <alignment horizontal="center" vertical="center"/>
    </xf>
    <xf numFmtId="0" fontId="63" fillId="30" borderId="0" applyAlignment="1" pivotButton="0" quotePrefix="0" xfId="0">
      <alignment horizontal="center" vertical="center"/>
    </xf>
    <xf numFmtId="0" fontId="64" fillId="31" borderId="0" applyAlignment="1" pivotButton="0" quotePrefix="0" xfId="0">
      <alignment horizontal="center" vertical="center"/>
    </xf>
    <xf numFmtId="0" fontId="65" fillId="32" borderId="0" applyAlignment="1" pivotButton="0" quotePrefix="0" xfId="0">
      <alignment horizontal="center" vertical="center"/>
    </xf>
    <xf numFmtId="0" fontId="66" fillId="33" borderId="0" applyAlignment="1" pivotButton="0" quotePrefix="0" xfId="0">
      <alignment horizontal="center" vertical="center"/>
    </xf>
    <xf numFmtId="0" fontId="67" fillId="34" borderId="0" applyAlignment="1" pivotButton="0" quotePrefix="0" xfId="0">
      <alignment horizontal="left" vertical="center"/>
    </xf>
    <xf numFmtId="3" fontId="62" fillId="33" borderId="0" applyAlignment="1" pivotButton="0" quotePrefix="0" xfId="0">
      <alignment horizontal="center" vertical="center"/>
    </xf>
    <xf numFmtId="0" fontId="68" fillId="34" borderId="0" applyAlignment="1" pivotButton="0" quotePrefix="0" xfId="0">
      <alignment horizontal="left" vertical="center"/>
    </xf>
    <xf numFmtId="3" fontId="69" fillId="30" borderId="0" applyAlignment="1" pivotButton="0" quotePrefix="0" xfId="0">
      <alignment horizontal="center" vertical="center"/>
    </xf>
    <xf numFmtId="3" fontId="70" fillId="31" borderId="0" applyAlignment="1" pivotButton="0" quotePrefix="0" xfId="0">
      <alignment horizontal="center" vertical="center"/>
    </xf>
    <xf numFmtId="3" fontId="71" fillId="32" borderId="0" applyAlignment="1" pivotButton="0" quotePrefix="0" xfId="0">
      <alignment horizontal="center" vertical="center"/>
    </xf>
    <xf numFmtId="164" fontId="71" fillId="32" borderId="0" applyAlignment="1" pivotButton="0" quotePrefix="0" xfId="0">
      <alignment horizontal="center" vertical="center"/>
    </xf>
    <xf numFmtId="0" fontId="72" fillId="35" borderId="0" applyAlignment="1" pivotButton="0" quotePrefix="0" xfId="0">
      <alignment horizontal="left" vertical="center"/>
    </xf>
    <xf numFmtId="0" fontId="10" fillId="32" borderId="0" applyAlignment="1" pivotButton="0" quotePrefix="0" xfId="0">
      <alignment horizontal="center" vertical="center"/>
    </xf>
    <xf numFmtId="10" fontId="69" fillId="30" borderId="0" applyAlignment="1" pivotButton="0" quotePrefix="0" xfId="0">
      <alignment horizontal="center" vertical="center"/>
    </xf>
    <xf numFmtId="10" fontId="70" fillId="31" borderId="0" applyAlignment="1" pivotButton="0" quotePrefix="0" xfId="0">
      <alignment horizontal="center" vertical="center"/>
    </xf>
    <xf numFmtId="10" fontId="71" fillId="32" borderId="0" applyAlignment="1" pivotButton="0" quotePrefix="0" xfId="0">
      <alignment horizontal="center" vertical="center"/>
    </xf>
    <xf numFmtId="10" fontId="62" fillId="33" borderId="0" applyAlignment="1" pivotButton="0" quotePrefix="0" xfId="0">
      <alignment horizontal="center" vertical="center"/>
    </xf>
    <xf numFmtId="0" fontId="73" fillId="33" borderId="0" applyAlignment="1" pivotButton="0" quotePrefix="0" xfId="0">
      <alignment horizontal="center" vertical="center"/>
    </xf>
    <xf numFmtId="0" fontId="76" fillId="0" borderId="0" applyAlignment="1" pivotButton="0" quotePrefix="0" xfId="0">
      <alignment horizontal="left" vertical="center"/>
    </xf>
    <xf numFmtId="0" fontId="77" fillId="38" borderId="0" applyAlignment="1" pivotButton="0" quotePrefix="0" xfId="0">
      <alignment horizontal="center" vertical="center"/>
    </xf>
    <xf numFmtId="0" fontId="78" fillId="39" borderId="0" applyAlignment="1" pivotButton="0" quotePrefix="0" xfId="0">
      <alignment horizontal="center" vertical="center"/>
    </xf>
    <xf numFmtId="0" fontId="79" fillId="40" borderId="0" applyAlignment="1" pivotButton="0" quotePrefix="0" xfId="0">
      <alignment horizontal="center" vertical="center"/>
    </xf>
    <xf numFmtId="0" fontId="76" fillId="41" borderId="0" applyAlignment="1" pivotButton="0" quotePrefix="0" xfId="0">
      <alignment horizontal="left" vertical="center"/>
    </xf>
    <xf numFmtId="0" fontId="80" fillId="38" borderId="0" applyAlignment="1" pivotButton="0" quotePrefix="0" xfId="0">
      <alignment horizontal="center" vertical="center"/>
    </xf>
    <xf numFmtId="0" fontId="81" fillId="41" borderId="0" applyAlignment="1" pivotButton="0" quotePrefix="0" xfId="0">
      <alignment horizontal="center" vertical="center"/>
    </xf>
    <xf numFmtId="0" fontId="82" fillId="40" borderId="0" applyAlignment="1" pivotButton="0" quotePrefix="0" xfId="0">
      <alignment horizontal="center" vertical="center"/>
    </xf>
    <xf numFmtId="0" fontId="84" fillId="42" borderId="0" applyAlignment="1" pivotButton="0" quotePrefix="0" xfId="0">
      <alignment horizontal="left" vertical="center"/>
    </xf>
    <xf numFmtId="3" fontId="85" fillId="38" borderId="0" applyAlignment="1" pivotButton="0" quotePrefix="0" xfId="0">
      <alignment horizontal="center" vertical="center"/>
    </xf>
    <xf numFmtId="3" fontId="86" fillId="39" borderId="0" applyAlignment="1" pivotButton="0" quotePrefix="0" xfId="0">
      <alignment horizontal="center" vertical="center"/>
    </xf>
    <xf numFmtId="3" fontId="87" fillId="40" borderId="0" applyAlignment="1" pivotButton="0" quotePrefix="0" xfId="0">
      <alignment horizontal="center" vertical="center"/>
    </xf>
    <xf numFmtId="0" fontId="88" fillId="42" borderId="0" applyAlignment="1" pivotButton="0" quotePrefix="0" xfId="0">
      <alignment horizontal="left" vertical="center"/>
    </xf>
    <xf numFmtId="3" fontId="89" fillId="38" borderId="0" applyAlignment="1" pivotButton="0" quotePrefix="0" xfId="0">
      <alignment horizontal="center" vertical="center"/>
    </xf>
    <xf numFmtId="3" fontId="90" fillId="39" borderId="0" applyAlignment="1" pivotButton="0" quotePrefix="0" xfId="0">
      <alignment horizontal="center" vertical="center"/>
    </xf>
    <xf numFmtId="0" fontId="91" fillId="41" borderId="0" applyAlignment="1" pivotButton="0" quotePrefix="0" xfId="0">
      <alignment horizontal="left" vertical="center"/>
    </xf>
    <xf numFmtId="164" fontId="86" fillId="39" borderId="0" applyAlignment="1" pivotButton="0" quotePrefix="0" xfId="0">
      <alignment horizontal="center" vertical="center"/>
    </xf>
    <xf numFmtId="164" fontId="87" fillId="40" borderId="0" applyAlignment="1" pivotButton="0" quotePrefix="0" xfId="0">
      <alignment horizontal="center" vertical="center"/>
    </xf>
    <xf numFmtId="0" fontId="92" fillId="43" borderId="0" applyAlignment="1" pivotButton="0" quotePrefix="0" xfId="0">
      <alignment horizontal="center" vertical="center"/>
    </xf>
    <xf numFmtId="0" fontId="93" fillId="39" borderId="0" applyAlignment="1" pivotButton="0" quotePrefix="0" xfId="0">
      <alignment horizontal="center" vertical="center"/>
    </xf>
    <xf numFmtId="0" fontId="94" fillId="44" borderId="0" applyAlignment="1" pivotButton="0" quotePrefix="0" xfId="0">
      <alignment horizontal="center" vertical="center"/>
    </xf>
    <xf numFmtId="3" fontId="95" fillId="43" borderId="0" applyAlignment="1" pivotButton="0" quotePrefix="0" xfId="0">
      <alignment horizontal="center" vertical="center"/>
    </xf>
    <xf numFmtId="3" fontId="96" fillId="44" borderId="0" applyAlignment="1" pivotButton="0" quotePrefix="0" xfId="0">
      <alignment horizontal="center" vertical="center"/>
    </xf>
    <xf numFmtId="164" fontId="95" fillId="43" borderId="0" applyAlignment="1" pivotButton="0" quotePrefix="0" xfId="0">
      <alignment horizontal="center" vertical="center"/>
    </xf>
    <xf numFmtId="164" fontId="90" fillId="39" borderId="0" applyAlignment="1" pivotButton="0" quotePrefix="0" xfId="0">
      <alignment horizontal="center" vertical="center"/>
    </xf>
    <xf numFmtId="164" fontId="96" fillId="44" borderId="0" applyAlignment="1" pivotButton="0" quotePrefix="0" xfId="0">
      <alignment horizontal="center" vertical="center"/>
    </xf>
    <xf numFmtId="3" fontId="97" fillId="43" borderId="0" applyAlignment="1" pivotButton="0" quotePrefix="0" xfId="0">
      <alignment horizontal="center" vertical="center"/>
    </xf>
    <xf numFmtId="3" fontId="98" fillId="44" borderId="0" applyAlignment="1" pivotButton="0" quotePrefix="0" xfId="0">
      <alignment horizontal="center" vertical="center"/>
    </xf>
    <xf numFmtId="164" fontId="97" fillId="43" borderId="0" applyAlignment="1" pivotButton="0" quotePrefix="0" xfId="0">
      <alignment horizontal="center" vertical="center"/>
    </xf>
    <xf numFmtId="164" fontId="98" fillId="44" borderId="0" applyAlignment="1" pivotButton="0" quotePrefix="0" xfId="0">
      <alignment horizontal="center" vertical="center"/>
    </xf>
    <xf numFmtId="0" fontId="99" fillId="37" borderId="0" applyAlignment="1" pivotButton="0" quotePrefix="0" xfId="0">
      <alignment horizontal="center" vertical="center"/>
    </xf>
    <xf numFmtId="3" fontId="100" fillId="39" borderId="0" applyAlignment="1" pivotButton="0" quotePrefix="0" xfId="0">
      <alignment horizontal="center" vertical="center"/>
    </xf>
    <xf numFmtId="164" fontId="100" fillId="39" borderId="0" applyAlignment="1" pivotButton="0" quotePrefix="0" xfId="0">
      <alignment horizontal="center" vertical="center"/>
    </xf>
    <xf numFmtId="0" fontId="101" fillId="37" borderId="0" applyAlignment="1" pivotButton="0" quotePrefix="0" xfId="0">
      <alignment horizontal="center" vertical="center"/>
    </xf>
    <xf numFmtId="0" fontId="102" fillId="38" borderId="0" applyAlignment="1" pivotButton="0" quotePrefix="0" xfId="0">
      <alignment horizontal="center" vertical="center"/>
    </xf>
    <xf numFmtId="49" fontId="86" fillId="39" borderId="0" applyAlignment="1" pivotButton="0" quotePrefix="0" xfId="0">
      <alignment horizontal="center" vertical="center"/>
    </xf>
    <xf numFmtId="49" fontId="90" fillId="39" borderId="0" applyAlignment="1" pivotButton="0" quotePrefix="0" xfId="0">
      <alignment horizontal="center" vertical="center"/>
    </xf>
    <xf numFmtId="164" fontId="85" fillId="38" borderId="0" applyAlignment="1" pivotButton="0" quotePrefix="0" xfId="0">
      <alignment horizontal="center" vertical="center"/>
    </xf>
    <xf numFmtId="0" fontId="6" fillId="0" borderId="0" applyAlignment="1" pivotButton="0" quotePrefix="0" xfId="0">
      <alignment horizontal="left" vertical="top" wrapText="1"/>
    </xf>
    <xf numFmtId="0" fontId="0" fillId="0" borderId="0" pivotButton="0" quotePrefix="0" xfId="0"/>
    <xf numFmtId="0" fontId="57" fillId="29" borderId="0" applyAlignment="1" pivotButton="0" quotePrefix="0" xfId="0">
      <alignment horizontal="left" vertical="center"/>
    </xf>
    <xf numFmtId="0" fontId="62" fillId="28" borderId="0" applyAlignment="1" pivotButton="0" quotePrefix="0" xfId="0">
      <alignment horizontal="center" vertical="center"/>
    </xf>
    <xf numFmtId="0" fontId="62" fillId="33" borderId="0" applyAlignment="1" pivotButton="0" quotePrefix="0" xfId="0">
      <alignment horizontal="center" vertical="center"/>
    </xf>
    <xf numFmtId="0" fontId="56" fillId="28" borderId="0" applyAlignment="1" pivotButton="0" quotePrefix="0" xfId="0">
      <alignment horizontal="left" vertical="center"/>
    </xf>
    <xf numFmtId="0" fontId="15" fillId="28" borderId="0" applyAlignment="1" pivotButton="0" quotePrefix="0" xfId="0">
      <alignment horizontal="left" vertical="center"/>
    </xf>
    <xf numFmtId="0" fontId="7" fillId="2" borderId="0" applyAlignment="1" pivotButton="0" quotePrefix="0" xfId="0">
      <alignment horizontal="left" vertical="center"/>
    </xf>
    <xf numFmtId="0" fontId="2" fillId="3" borderId="0" applyAlignment="1" pivotButton="0" quotePrefix="0" xfId="0">
      <alignment horizontal="left" vertical="center"/>
    </xf>
    <xf numFmtId="0" fontId="1" fillId="2" borderId="0" applyAlignment="1" pivotButton="0" quotePrefix="0" xfId="0">
      <alignment horizontal="left" vertical="center"/>
    </xf>
    <xf numFmtId="0" fontId="9" fillId="4" borderId="0" applyAlignment="1" pivotButton="0" quotePrefix="0" xfId="0">
      <alignment horizontal="center" vertical="center"/>
    </xf>
    <xf numFmtId="0" fontId="12" fillId="7" borderId="0" pivotButton="0" quotePrefix="0" xfId="0"/>
    <xf numFmtId="0" fontId="11" fillId="2" borderId="0" applyAlignment="1" pivotButton="0" quotePrefix="0" xfId="0">
      <alignment horizontal="left" vertical="center"/>
    </xf>
    <xf numFmtId="0" fontId="20" fillId="11" borderId="0" applyAlignment="1" pivotButton="0" quotePrefix="0" xfId="0">
      <alignment horizontal="left" vertical="center"/>
    </xf>
    <xf numFmtId="0" fontId="18" fillId="10" borderId="0" applyAlignment="1" pivotButton="0" quotePrefix="0" xfId="0">
      <alignment horizontal="left" vertical="center"/>
    </xf>
    <xf numFmtId="0" fontId="17" fillId="9" borderId="0" applyAlignment="1" pivotButton="0" quotePrefix="0" xfId="0">
      <alignment horizontal="left" vertical="center"/>
    </xf>
    <xf numFmtId="0" fontId="29" fillId="16" borderId="0" applyAlignment="1" pivotButton="0" quotePrefix="0" xfId="0">
      <alignment horizontal="left" vertical="center"/>
    </xf>
    <xf numFmtId="0" fontId="31" fillId="17" borderId="0" applyAlignment="1" pivotButton="0" quotePrefix="0" xfId="0">
      <alignment horizontal="left" vertical="center"/>
    </xf>
    <xf numFmtId="0" fontId="28" fillId="15" borderId="0" applyAlignment="1" pivotButton="0" quotePrefix="0" xfId="0">
      <alignment horizontal="left" vertical="center"/>
    </xf>
    <xf numFmtId="0" fontId="38" fillId="21" borderId="0" applyAlignment="1" pivotButton="0" quotePrefix="0" xfId="0">
      <alignment horizontal="left" vertical="center"/>
    </xf>
    <xf numFmtId="0" fontId="37" fillId="20" borderId="0" applyAlignment="1" pivotButton="0" quotePrefix="0" xfId="0">
      <alignment horizontal="left" vertical="center"/>
    </xf>
    <xf numFmtId="0" fontId="83" fillId="0" borderId="0" applyAlignment="1" pivotButton="0" quotePrefix="0" xfId="0">
      <alignment horizontal="left" vertical="center"/>
    </xf>
    <xf numFmtId="0" fontId="75" fillId="37" borderId="0" applyAlignment="1" pivotButton="0" quotePrefix="0" xfId="0">
      <alignment horizontal="left" vertical="center" wrapText="1"/>
    </xf>
    <xf numFmtId="0" fontId="74" fillId="36" borderId="0" applyAlignment="1" pivotButton="0" quotePrefix="0" xfId="0">
      <alignment horizontal="left" vertical="center"/>
    </xf>
    <xf numFmtId="0" fontId="87" fillId="36" borderId="0" applyAlignment="1" pivotButton="0" quotePrefix="0" xfId="0">
      <alignment horizontal="left" vertical="center"/>
    </xf>
    <xf numFmtId="0" fontId="75" fillId="37" borderId="0" applyAlignment="1" pivotButton="0" quotePrefix="0" xfId="0">
      <alignment horizontal="left" vertical="center"/>
    </xf>
    <xf numFmtId="10" fontId="87" fillId="40" borderId="0" applyAlignment="1" pivotButton="0" quotePrefix="0" xfId="0">
      <alignment horizontal="center" vertical="center"/>
    </xf>
    <xf numFmtId="3" fontId="25" fillId="43" borderId="0" applyAlignment="1" pivotButton="0" quotePrefix="0" xfId="0">
      <alignment horizontal="center" vertical="center"/>
    </xf>
    <xf numFmtId="3" fontId="14" fillId="39" borderId="0" applyAlignment="1" pivotButton="0" quotePrefix="0" xfId="0">
      <alignment horizontal="center" vertical="center"/>
    </xf>
    <xf numFmtId="10" fontId="86" fillId="39" borderId="0" applyAlignment="1" pivotButton="0" quotePrefix="0" xfId="0">
      <alignment horizontal="center" vertical="center"/>
    </xf>
  </cellXfs>
  <cellStyles count="1">
    <cellStyle name="Normal" xfId="0" builtinId="0"/>
  </cellStyles>
  <dxfs count="1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4472C4"/>
    <outlinePr summaryBelow="1" summaryRight="1"/>
    <pageSetUpPr/>
  </sheetPr>
  <dimension ref="A1:E56"/>
  <sheetViews>
    <sheetView workbookViewId="0">
      <pane ySplit="4" topLeftCell="A29" activePane="bottomLeft" state="frozen"/>
      <selection pane="bottomLeft" activeCell="B54" sqref="B54"/>
    </sheetView>
  </sheetViews>
  <sheetFormatPr baseColWidth="10" defaultColWidth="8.83203125" defaultRowHeight="15"/>
  <cols>
    <col width="26" customWidth="1" style="130" min="1" max="1"/>
    <col width="16" customWidth="1" style="130" min="2" max="4"/>
    <col width="22" customWidth="1" style="130" min="5" max="5"/>
  </cols>
  <sheetData>
    <row r="1" ht="28" customHeight="1" s="130">
      <c r="A1" s="138" t="inlineStr">
        <is>
          <t>ZARA &amp; CO. — FP&amp;A MODEL FY2025</t>
        </is>
      </c>
    </row>
    <row r="2" ht="16" customHeight="1" s="130">
      <c r="A2" s="137" t="inlineStr">
        <is>
          <t>Assumptions Tab — All inputs live here. Never hardcode numbers in other tabs.</t>
        </is>
      </c>
    </row>
    <row r="3" ht="16" customHeight="1" s="130">
      <c r="A3" s="1" t="inlineStr">
        <is>
          <t>Colour key:</t>
        </is>
      </c>
      <c r="B3" s="2" t="inlineStr">
        <is>
          <t xml:space="preserve">  Blue = Hardcoded input  </t>
        </is>
      </c>
      <c r="C3" s="3" t="inlineStr">
        <is>
          <t xml:space="preserve">  Green = Formula  </t>
        </is>
      </c>
      <c r="D3" s="4" t="inlineStr">
        <is>
          <t>(Black = formula in other tabs)</t>
        </is>
      </c>
    </row>
    <row r="4" ht="8" customHeight="1" s="130"/>
    <row r="5" ht="18" customHeight="1" s="130">
      <c r="A5" s="136" t="inlineStr">
        <is>
          <t>A. MODEL PARAMETERS</t>
        </is>
      </c>
    </row>
    <row r="6" ht="18" customHeight="1" s="130">
      <c r="A6" s="5" t="inlineStr">
        <is>
          <t>Fiscal Year</t>
        </is>
      </c>
      <c r="B6" s="6" t="n">
        <v>2025</v>
      </c>
      <c r="C6" s="5" t="inlineStr">
        <is>
          <t>Currency</t>
        </is>
      </c>
      <c r="D6" s="139" t="inlineStr">
        <is>
          <t>AED</t>
        </is>
      </c>
    </row>
    <row r="7" ht="18" customHeight="1" s="130">
      <c r="A7" s="5" t="inlineStr">
        <is>
          <t>Company Name</t>
        </is>
      </c>
      <c r="B7" s="139" t="inlineStr">
        <is>
          <t>Zara &amp; Co.</t>
        </is>
      </c>
    </row>
    <row r="8" ht="8" customHeight="1" s="130"/>
    <row r="9" ht="18" customHeight="1" s="130">
      <c r="A9" s="136" t="inlineStr">
        <is>
          <t>B. OUTLETS &amp; PRODUCT CATEGORIES</t>
        </is>
      </c>
    </row>
    <row r="10" ht="18" customHeight="1" s="130">
      <c r="A10" s="5" t="inlineStr">
        <is>
          <t>Outlet 1</t>
        </is>
      </c>
      <c r="B10" s="139" t="inlineStr">
        <is>
          <t>Dubai Mall</t>
        </is>
      </c>
      <c r="C10" s="5" t="inlineStr">
        <is>
          <t>Category 1</t>
        </is>
      </c>
      <c r="D10" s="139" t="inlineStr">
        <is>
          <t>Women's Wear</t>
        </is>
      </c>
    </row>
    <row r="11" ht="18" customHeight="1" s="130">
      <c r="A11" s="5" t="inlineStr">
        <is>
          <t>Outlet 2</t>
        </is>
      </c>
      <c r="B11" s="139" t="inlineStr">
        <is>
          <t>Marina Mall</t>
        </is>
      </c>
      <c r="C11" s="5" t="inlineStr">
        <is>
          <t>Category 2</t>
        </is>
      </c>
      <c r="D11" s="139" t="inlineStr">
        <is>
          <t>Men's Wear</t>
        </is>
      </c>
    </row>
    <row r="12" ht="18" customHeight="1" s="130">
      <c r="A12" s="5" t="inlineStr">
        <is>
          <t>Outlet 3</t>
        </is>
      </c>
      <c r="B12" s="139" t="inlineStr">
        <is>
          <t>Online</t>
        </is>
      </c>
      <c r="C12" s="5" t="inlineStr">
        <is>
          <t>Category 3</t>
        </is>
      </c>
      <c r="D12" s="139" t="inlineStr">
        <is>
          <t>Kids' Wear</t>
        </is>
      </c>
    </row>
    <row r="13" ht="18" customHeight="1" s="130">
      <c r="C13" s="5" t="inlineStr">
        <is>
          <t>Category 4</t>
        </is>
      </c>
      <c r="D13" s="139" t="inlineStr">
        <is>
          <t>Accessories</t>
        </is>
      </c>
    </row>
    <row r="14" ht="8" customHeight="1" s="130"/>
    <row r="15" ht="18" customHeight="1" s="130">
      <c r="A15" s="136" t="inlineStr">
        <is>
          <t>C. SEASONALITY MULTIPLIERS  (1.00 = base month)</t>
        </is>
      </c>
    </row>
    <row r="16" ht="16" customHeight="1" s="130">
      <c r="A16" s="8" t="inlineStr">
        <is>
          <t>Month</t>
        </is>
      </c>
      <c r="B16" s="8" t="inlineStr">
        <is>
          <t>Multiplier</t>
        </is>
      </c>
      <c r="C16" s="8" t="inlineStr">
        <is>
          <t>Note</t>
        </is>
      </c>
    </row>
    <row r="17" ht="17" customHeight="1" s="130">
      <c r="A17" s="5" t="inlineStr">
        <is>
          <t>January</t>
        </is>
      </c>
      <c r="B17" s="9" t="n">
        <v>1.05</v>
      </c>
      <c r="C17" s="4" t="inlineStr">
        <is>
          <t>Post-holiday shopping</t>
        </is>
      </c>
    </row>
    <row r="18" ht="17" customHeight="1" s="130">
      <c r="A18" s="5" t="inlineStr">
        <is>
          <t>February</t>
        </is>
      </c>
      <c r="B18" s="9" t="n">
        <v>1</v>
      </c>
    </row>
    <row r="19" ht="17" customHeight="1" s="130">
      <c r="A19" s="5" t="inlineStr">
        <is>
          <t>March</t>
        </is>
      </c>
      <c r="B19" s="9" t="n">
        <v>1.2</v>
      </c>
      <c r="C19" s="4" t="inlineStr">
        <is>
          <t>Ramadan — higher footfall &amp; gifting</t>
        </is>
      </c>
    </row>
    <row r="20" ht="17" customHeight="1" s="130">
      <c r="A20" s="5" t="inlineStr">
        <is>
          <t>April</t>
        </is>
      </c>
      <c r="B20" s="9" t="n">
        <v>0.9</v>
      </c>
      <c r="C20" s="4" t="inlineStr">
        <is>
          <t>Post-Ramadan dip</t>
        </is>
      </c>
    </row>
    <row r="21" ht="17" customHeight="1" s="130">
      <c r="A21" s="5" t="inlineStr">
        <is>
          <t>May</t>
        </is>
      </c>
      <c r="B21" s="9" t="n">
        <v>1</v>
      </c>
    </row>
    <row r="22" ht="17" customHeight="1" s="130">
      <c r="A22" s="5" t="inlineStr">
        <is>
          <t>June</t>
        </is>
      </c>
      <c r="B22" s="9" t="n">
        <v>0.85</v>
      </c>
      <c r="C22" s="4" t="inlineStr">
        <is>
          <t>Summer begins</t>
        </is>
      </c>
    </row>
    <row r="23" ht="17" customHeight="1" s="130">
      <c r="A23" s="5" t="inlineStr">
        <is>
          <t>July</t>
        </is>
      </c>
      <c r="B23" s="9" t="n">
        <v>0.8</v>
      </c>
      <c r="C23" s="4" t="inlineStr">
        <is>
          <t>Peak summer — expat travel</t>
        </is>
      </c>
    </row>
    <row r="24" ht="17" customHeight="1" s="130">
      <c r="A24" s="5" t="inlineStr">
        <is>
          <t>August</t>
        </is>
      </c>
      <c r="B24" s="9" t="n">
        <v>0.85</v>
      </c>
      <c r="C24" s="4" t="inlineStr">
        <is>
          <t>Summer</t>
        </is>
      </c>
    </row>
    <row r="25" ht="17" customHeight="1" s="130">
      <c r="A25" s="5" t="inlineStr">
        <is>
          <t>September</t>
        </is>
      </c>
      <c r="B25" s="9" t="n">
        <v>1.05</v>
      </c>
      <c r="C25" s="4" t="inlineStr">
        <is>
          <t>Back to school / work</t>
        </is>
      </c>
    </row>
    <row r="26" ht="17" customHeight="1" s="130">
      <c r="A26" s="5" t="inlineStr">
        <is>
          <t>October</t>
        </is>
      </c>
      <c r="B26" s="9" t="n">
        <v>1.05</v>
      </c>
    </row>
    <row r="27" ht="17" customHeight="1" s="130">
      <c r="A27" s="5" t="inlineStr">
        <is>
          <t>November</t>
        </is>
      </c>
      <c r="B27" s="9" t="n">
        <v>1.1</v>
      </c>
      <c r="C27" s="4" t="inlineStr">
        <is>
          <t>White Friday / pre-holiday</t>
        </is>
      </c>
    </row>
    <row r="28" ht="17" customHeight="1" s="130">
      <c r="A28" s="5" t="inlineStr">
        <is>
          <t>December</t>
        </is>
      </c>
      <c r="B28" s="9" t="n">
        <v>1.15</v>
      </c>
      <c r="C28" s="4" t="inlineStr">
        <is>
          <t>Holiday season + NYE</t>
        </is>
      </c>
    </row>
    <row r="29" ht="17" customHeight="1" s="130">
      <c r="A29" s="10" t="inlineStr">
        <is>
          <t>Sum check (should ≈ 12)</t>
        </is>
      </c>
      <c r="B29" s="11">
        <f>SUM(B17:B28)</f>
        <v/>
      </c>
    </row>
    <row r="30" ht="8" customHeight="1" s="130"/>
    <row r="31" ht="18" customHeight="1" s="130">
      <c r="A31" s="136" t="inlineStr">
        <is>
          <t>D. BASE MONTHLY UNITS  (per outlet, per category — before seasonality)</t>
        </is>
      </c>
    </row>
    <row r="32" ht="16" customHeight="1" s="130">
      <c r="A32" s="8" t="inlineStr">
        <is>
          <t>Category</t>
        </is>
      </c>
      <c r="B32" s="8" t="inlineStr">
        <is>
          <t>Dubai Mall</t>
        </is>
      </c>
      <c r="C32" s="8" t="inlineStr">
        <is>
          <t>Marina Mall</t>
        </is>
      </c>
      <c r="D32" s="8" t="inlineStr">
        <is>
          <t>Online</t>
        </is>
      </c>
    </row>
    <row r="33" ht="17" customHeight="1" s="130">
      <c r="A33" s="5" t="inlineStr">
        <is>
          <t>Women's Wear</t>
        </is>
      </c>
      <c r="B33" s="12" t="n">
        <v>800</v>
      </c>
      <c r="C33" s="12" t="n">
        <v>600</v>
      </c>
      <c r="D33" s="12" t="n">
        <v>1200</v>
      </c>
    </row>
    <row r="34" ht="17" customHeight="1" s="130">
      <c r="A34" s="5" t="inlineStr">
        <is>
          <t>Men's Wear</t>
        </is>
      </c>
      <c r="B34" s="12" t="n">
        <v>500</v>
      </c>
      <c r="C34" s="12" t="n">
        <v>380</v>
      </c>
      <c r="D34" s="12" t="n">
        <v>700</v>
      </c>
    </row>
    <row r="35" ht="17" customHeight="1" s="130">
      <c r="A35" s="5" t="inlineStr">
        <is>
          <t>Kids' Wear</t>
        </is>
      </c>
      <c r="B35" s="12" t="n">
        <v>300</v>
      </c>
      <c r="C35" s="12" t="n">
        <v>250</v>
      </c>
      <c r="D35" s="12" t="n">
        <v>500</v>
      </c>
    </row>
    <row r="36" ht="17" customHeight="1" s="130">
      <c r="A36" s="5" t="inlineStr">
        <is>
          <t>Accessories</t>
        </is>
      </c>
      <c r="B36" s="12" t="n">
        <v>600</v>
      </c>
      <c r="C36" s="12" t="n">
        <v>450</v>
      </c>
      <c r="D36" s="12" t="n">
        <v>900</v>
      </c>
    </row>
    <row r="37" ht="8" customHeight="1" s="130"/>
    <row r="38" ht="18" customHeight="1" s="130">
      <c r="A38" s="136" t="inlineStr">
        <is>
          <t>E. AVERAGE SELLING PRICE (AED)</t>
        </is>
      </c>
    </row>
    <row r="39" ht="16" customHeight="1" s="130">
      <c r="A39" s="8" t="inlineStr">
        <is>
          <t>Category</t>
        </is>
      </c>
      <c r="B39" s="8" t="inlineStr">
        <is>
          <t>ASP (AED)</t>
        </is>
      </c>
      <c r="C39" s="8" t="inlineStr">
        <is>
          <t>Note</t>
        </is>
      </c>
    </row>
    <row r="40" ht="17" customHeight="1" s="130">
      <c r="A40" s="5" t="inlineStr">
        <is>
          <t>Women's Wear</t>
        </is>
      </c>
      <c r="B40" s="12" t="n">
        <v>380</v>
      </c>
      <c r="C40" s="4" t="inlineStr">
        <is>
          <t>Premium positioning — Dubai Mall mix weighted</t>
        </is>
      </c>
    </row>
    <row r="41" ht="17" customHeight="1" s="130">
      <c r="A41" s="5" t="inlineStr">
        <is>
          <t>Men's Wear</t>
        </is>
      </c>
      <c r="B41" s="12" t="n">
        <v>300</v>
      </c>
    </row>
    <row r="42" ht="17" customHeight="1" s="130">
      <c r="A42" s="5" t="inlineStr">
        <is>
          <t>Kids' Wear</t>
        </is>
      </c>
      <c r="B42" s="12" t="n">
        <v>160</v>
      </c>
    </row>
    <row r="43" ht="17" customHeight="1" s="130">
      <c r="A43" s="5" t="inlineStr">
        <is>
          <t>Accessories</t>
        </is>
      </c>
      <c r="B43" s="12" t="n">
        <v>130</v>
      </c>
      <c r="C43" s="4" t="inlineStr">
        <is>
          <t>Impulse-buy category — lower ASP, high volume</t>
        </is>
      </c>
    </row>
    <row r="44" ht="8" customHeight="1" s="130"/>
    <row r="45" ht="18" customHeight="1" s="130">
      <c r="A45" s="136" t="inlineStr">
        <is>
          <t>F. COGS % BY CATEGORY  (Week 4 — fill in when building COGS tab)</t>
        </is>
      </c>
    </row>
    <row r="46">
      <c r="A46" s="8" t="inlineStr">
        <is>
          <t>Category</t>
        </is>
      </c>
      <c r="B46" s="8" t="inlineStr">
        <is>
          <t>COGS %</t>
        </is>
      </c>
    </row>
    <row r="47" ht="17" customHeight="1" s="130">
      <c r="A47" s="5" t="inlineStr">
        <is>
          <t>Women's Wear</t>
        </is>
      </c>
      <c r="B47" s="22" t="n">
        <v>0.45</v>
      </c>
    </row>
    <row r="48" ht="17" customHeight="1" s="130">
      <c r="A48" s="5" t="inlineStr">
        <is>
          <t>Men's Wear</t>
        </is>
      </c>
      <c r="B48" s="22" t="n">
        <v>0.48</v>
      </c>
    </row>
    <row r="49" ht="17" customHeight="1" s="130">
      <c r="A49" s="5" t="inlineStr">
        <is>
          <t>Kids' Wear</t>
        </is>
      </c>
      <c r="B49" s="22" t="n">
        <v>0.5</v>
      </c>
    </row>
    <row r="50" ht="17" customHeight="1" s="130">
      <c r="A50" s="5" t="inlineStr">
        <is>
          <t>Accessories</t>
        </is>
      </c>
      <c r="B50" s="22" t="n">
        <v>0.35</v>
      </c>
    </row>
    <row r="51" ht="8" customHeight="1" s="130"/>
    <row r="52" ht="18" customHeight="1" s="130">
      <c r="A52" s="136" t="inlineStr">
        <is>
          <t>G. OPEX ASSUMPTIONS (Monthly AED)  (Week 4)</t>
        </is>
      </c>
    </row>
    <row r="53">
      <c r="A53" s="8" t="inlineStr">
        <is>
          <t>Item</t>
        </is>
      </c>
      <c r="B53" s="8" t="inlineStr">
        <is>
          <t>Dubai Mall</t>
        </is>
      </c>
      <c r="C53" s="8" t="inlineStr">
        <is>
          <t>Marina Mall</t>
        </is>
      </c>
      <c r="D53" s="8" t="inlineStr">
        <is>
          <t>Online</t>
        </is>
      </c>
    </row>
    <row r="54" ht="17" customHeight="1" s="130">
      <c r="A54" s="5" t="inlineStr">
        <is>
          <t>Rent (AED/month)</t>
        </is>
      </c>
      <c r="B54" s="36" t="n">
        <v>180000</v>
      </c>
      <c r="C54" s="36" t="n">
        <v>120000</v>
      </c>
      <c r="D54" s="36" t="n">
        <v>15000</v>
      </c>
    </row>
    <row r="55" ht="17" customHeight="1" s="130">
      <c r="A55" s="5" t="inlineStr">
        <is>
          <t>Base Payroll (AED/month)</t>
        </is>
      </c>
      <c r="B55" s="36" t="n">
        <v>150000</v>
      </c>
      <c r="C55" s="36" t="n">
        <v>100000</v>
      </c>
      <c r="D55" s="36" t="n">
        <v>45000</v>
      </c>
    </row>
    <row r="56" ht="17" customHeight="1" s="130">
      <c r="A56" s="5" t="inlineStr">
        <is>
          <t>Marketing % of Revenue</t>
        </is>
      </c>
      <c r="B56" s="37" t="n">
        <v>0.03</v>
      </c>
      <c r="C56" s="37" t="n">
        <v>0.03</v>
      </c>
      <c r="D56" s="37" t="n">
        <v>0.02</v>
      </c>
    </row>
  </sheetData>
  <mergeCells count="10">
    <mergeCell ref="A38:E38"/>
    <mergeCell ref="A2:E2"/>
    <mergeCell ref="A15:E15"/>
    <mergeCell ref="A52:E52"/>
    <mergeCell ref="A1:E1"/>
    <mergeCell ref="A5:E5"/>
    <mergeCell ref="A45:E45"/>
    <mergeCell ref="A31:E31"/>
    <mergeCell ref="B7:D7"/>
    <mergeCell ref="A9:E9"/>
  </mergeCells>
  <pageMargins left="0.75" right="0.75" top="1" bottom="1" header="0.5" footer="0.5"/>
</worksheet>
</file>

<file path=xl/worksheets/sheet2.xml><?xml version="1.0" encoding="utf-8"?>
<worksheet xmlns="http://schemas.openxmlformats.org/spreadsheetml/2006/main">
  <sheetPr>
    <tabColor rgb="FF70AD47"/>
    <outlinePr summaryBelow="1" summaryRight="1"/>
    <pageSetUpPr/>
  </sheetPr>
  <dimension ref="A1:O39"/>
  <sheetViews>
    <sheetView workbookViewId="0">
      <pane xSplit="2" ySplit="4" topLeftCell="C12" activePane="bottomRight" state="frozen"/>
      <selection pane="topRight" activeCell="A1" sqref="A1"/>
      <selection pane="bottomLeft" activeCell="A1" sqref="A1"/>
      <selection pane="bottomRight" activeCell="N39" sqref="N39"/>
    </sheetView>
  </sheetViews>
  <sheetFormatPr baseColWidth="10" defaultColWidth="8.83203125" defaultRowHeight="15"/>
  <cols>
    <col width="20" customWidth="1" style="130" min="1" max="1"/>
    <col width="14" customWidth="1" style="130" min="2" max="2"/>
    <col width="12" customWidth="1" style="130" min="3" max="15"/>
  </cols>
  <sheetData>
    <row r="1" ht="24" customHeight="1" s="130">
      <c r="A1" s="141" t="inlineStr">
        <is>
          <t>ZARA &amp; CO. — REVENUE BUILD FY2025</t>
        </is>
      </c>
    </row>
    <row r="2" ht="14" customHeight="1" s="130">
      <c r="A2" s="137" t="inlineStr">
        <is>
          <t>Formulas only — all inputs linked from Assumptions tab. Nothing hardcoded here.</t>
        </is>
      </c>
    </row>
    <row r="3" ht="8" customHeight="1" s="130"/>
    <row r="4" ht="16" customHeight="1" s="130">
      <c r="A4" s="10" t="inlineStr">
        <is>
          <t>Outlet / Category</t>
        </is>
      </c>
      <c r="B4" s="8" t="inlineStr">
        <is>
          <t>Metric</t>
        </is>
      </c>
      <c r="C4" s="8" t="inlineStr">
        <is>
          <t>Jan</t>
        </is>
      </c>
      <c r="D4" s="8" t="inlineStr">
        <is>
          <t>Feb</t>
        </is>
      </c>
      <c r="E4" s="8" t="inlineStr">
        <is>
          <t>Mar</t>
        </is>
      </c>
      <c r="F4" s="8" t="inlineStr">
        <is>
          <t>Apr</t>
        </is>
      </c>
      <c r="G4" s="8" t="inlineStr">
        <is>
          <t>May</t>
        </is>
      </c>
      <c r="H4" s="8" t="inlineStr">
        <is>
          <t>Jun</t>
        </is>
      </c>
      <c r="I4" s="8" t="inlineStr">
        <is>
          <t>Jul</t>
        </is>
      </c>
      <c r="J4" s="8" t="inlineStr">
        <is>
          <t>Aug</t>
        </is>
      </c>
      <c r="K4" s="8" t="inlineStr">
        <is>
          <t>Sep</t>
        </is>
      </c>
      <c r="L4" s="8" t="inlineStr">
        <is>
          <t>Oct</t>
        </is>
      </c>
      <c r="M4" s="8" t="inlineStr">
        <is>
          <t>Nov</t>
        </is>
      </c>
      <c r="N4" s="8" t="inlineStr">
        <is>
          <t>Dec</t>
        </is>
      </c>
      <c r="O4" s="8" t="inlineStr">
        <is>
          <t>TOTAL</t>
        </is>
      </c>
    </row>
    <row r="5" ht="16" customHeight="1" s="130">
      <c r="A5" s="10" t="inlineStr">
        <is>
          <t>Seasonality</t>
        </is>
      </c>
      <c r="B5" s="8" t="n"/>
      <c r="C5" s="21">
        <f t="array" ref="C5">INDEX(Assumptions!$B$17:$B$28,COLUMN()-2)</f>
        <v/>
      </c>
      <c r="D5" s="21">
        <f t="array" ref="D5">INDEX(Assumptions!$B$17:$B$28,COLUMN()-2)</f>
        <v/>
      </c>
      <c r="E5" s="21">
        <f t="array" ref="E5">INDEX(Assumptions!$B$17:$B$28,COLUMN()-2)</f>
        <v/>
      </c>
      <c r="F5" s="21">
        <f t="array" ref="F5">INDEX(Assumptions!$B$17:$B$28,COLUMN()-2)</f>
        <v/>
      </c>
      <c r="G5" s="21">
        <f t="array" ref="G5">INDEX(Assumptions!$B$17:$B$28,COLUMN()-2)</f>
        <v/>
      </c>
      <c r="H5" s="21">
        <f t="array" ref="H5">INDEX(Assumptions!$B$17:$B$28,COLUMN()-2)</f>
        <v/>
      </c>
      <c r="I5" s="21">
        <f t="array" ref="I5">INDEX(Assumptions!$B$17:$B$28,COLUMN()-2)</f>
        <v/>
      </c>
      <c r="J5" s="21">
        <f t="array" ref="J5">INDEX(Assumptions!$B$17:$B$28,COLUMN()-2)</f>
        <v/>
      </c>
      <c r="K5" s="21">
        <f t="array" ref="K5">INDEX(Assumptions!$B$17:$B$28,COLUMN()-2)</f>
        <v/>
      </c>
      <c r="L5" s="21">
        <f t="array" ref="L5">INDEX(Assumptions!$B$17:$B$28,COLUMN()-2)</f>
        <v/>
      </c>
      <c r="M5" s="21">
        <f t="array" ref="M5">INDEX(Assumptions!$B$17:$B$28,COLUMN()-2)</f>
        <v/>
      </c>
      <c r="N5" s="21">
        <f t="array" ref="N5">INDEX(Assumptions!$B$17:$B$28,COLUMN()-2)</f>
        <v/>
      </c>
      <c r="O5" s="21">
        <f>SUM(C5:N5)</f>
        <v/>
      </c>
    </row>
    <row r="6" ht="16" customHeight="1" s="130">
      <c r="A6" s="140" t="inlineStr">
        <is>
          <t>Dubai Mall</t>
        </is>
      </c>
    </row>
    <row r="7" ht="16" customHeight="1" s="130">
      <c r="A7" s="5" t="inlineStr">
        <is>
          <t>Women's Wear</t>
        </is>
      </c>
      <c r="B7" s="13" t="inlineStr">
        <is>
          <t>Units</t>
        </is>
      </c>
      <c r="C7" s="14">
        <f>Assumptions!$B$33*'Revenue Build'!C$5</f>
        <v/>
      </c>
      <c r="D7" s="14">
        <f>Assumptions!$B$33*'Revenue Build'!D5</f>
        <v/>
      </c>
      <c r="E7" s="14">
        <f>Assumptions!$B$33*'Revenue Build'!E5</f>
        <v/>
      </c>
      <c r="F7" s="14">
        <f>Assumptions!$B$33*'Revenue Build'!F5</f>
        <v/>
      </c>
      <c r="G7" s="14">
        <f>Assumptions!$B$33*'Revenue Build'!G5</f>
        <v/>
      </c>
      <c r="H7" s="14">
        <f>Assumptions!$B$33*'Revenue Build'!H5</f>
        <v/>
      </c>
      <c r="I7" s="14">
        <f>Assumptions!$B$33*'Revenue Build'!I5</f>
        <v/>
      </c>
      <c r="J7" s="14">
        <f>Assumptions!$B$33*'Revenue Build'!J5</f>
        <v/>
      </c>
      <c r="K7" s="14">
        <f>Assumptions!$B$33*'Revenue Build'!K5</f>
        <v/>
      </c>
      <c r="L7" s="14">
        <f>Assumptions!$B$33*'Revenue Build'!L5</f>
        <v/>
      </c>
      <c r="M7" s="14">
        <f>Assumptions!$B$33*'Revenue Build'!M5</f>
        <v/>
      </c>
      <c r="N7" s="14">
        <f>Assumptions!$B$33*'Revenue Build'!N5</f>
        <v/>
      </c>
      <c r="O7" s="14">
        <f>SUM(C7:N7)</f>
        <v/>
      </c>
    </row>
    <row r="8" ht="16" customHeight="1" s="130">
      <c r="A8" s="5" t="n"/>
      <c r="B8" s="13" t="inlineStr">
        <is>
          <t>Revenue (AED)</t>
        </is>
      </c>
      <c r="C8" s="14">
        <f>Assumptions!$B$40*'Revenue Build'!C7</f>
        <v/>
      </c>
      <c r="D8" s="14">
        <f>Assumptions!$B$40*'Revenue Build'!D7</f>
        <v/>
      </c>
      <c r="E8" s="14">
        <f>Assumptions!$B$40*'Revenue Build'!E7</f>
        <v/>
      </c>
      <c r="F8" s="14">
        <f>Assumptions!$B$40*'Revenue Build'!F7</f>
        <v/>
      </c>
      <c r="G8" s="14">
        <f>Assumptions!$B$40*'Revenue Build'!G7</f>
        <v/>
      </c>
      <c r="H8" s="14">
        <f>Assumptions!$B$40*'Revenue Build'!H7</f>
        <v/>
      </c>
      <c r="I8" s="14">
        <f>Assumptions!$B$40*'Revenue Build'!I7</f>
        <v/>
      </c>
      <c r="J8" s="14">
        <f>Assumptions!$B$40*'Revenue Build'!J7</f>
        <v/>
      </c>
      <c r="K8" s="14">
        <f>Assumptions!$B$40*'Revenue Build'!K7</f>
        <v/>
      </c>
      <c r="L8" s="14">
        <f>Assumptions!$B$40*'Revenue Build'!L7</f>
        <v/>
      </c>
      <c r="M8" s="14">
        <f>Assumptions!$B$40*'Revenue Build'!M7</f>
        <v/>
      </c>
      <c r="N8" s="14">
        <f>Assumptions!$B$40*'Revenue Build'!N7</f>
        <v/>
      </c>
      <c r="O8" s="14">
        <f>SUM(C8:N8)</f>
        <v/>
      </c>
    </row>
    <row r="9" ht="16" customHeight="1" s="130">
      <c r="A9" s="5" t="inlineStr">
        <is>
          <t>Men's Wear</t>
        </is>
      </c>
      <c r="B9" s="13" t="inlineStr">
        <is>
          <t>Units</t>
        </is>
      </c>
      <c r="C9" s="14">
        <f>Assumptions!$B$34*'Revenue Build'!C$5</f>
        <v/>
      </c>
      <c r="D9" s="14">
        <f>Assumptions!$B$34*'Revenue Build'!D$5</f>
        <v/>
      </c>
      <c r="E9" s="14">
        <f>Assumptions!$B$34*'Revenue Build'!E$5</f>
        <v/>
      </c>
      <c r="F9" s="14">
        <f>Assumptions!$B$34*'Revenue Build'!F$5</f>
        <v/>
      </c>
      <c r="G9" s="14">
        <f>Assumptions!$B$34*'Revenue Build'!G$5</f>
        <v/>
      </c>
      <c r="H9" s="14">
        <f>Assumptions!$B$34*'Revenue Build'!H$5</f>
        <v/>
      </c>
      <c r="I9" s="14">
        <f>Assumptions!$B$34*'Revenue Build'!I$5</f>
        <v/>
      </c>
      <c r="J9" s="14">
        <f>Assumptions!$B$34*'Revenue Build'!J$5</f>
        <v/>
      </c>
      <c r="K9" s="14">
        <f>Assumptions!$B$34*'Revenue Build'!K$5</f>
        <v/>
      </c>
      <c r="L9" s="14">
        <f>Assumptions!$B$34*'Revenue Build'!L$5</f>
        <v/>
      </c>
      <c r="M9" s="14">
        <f>Assumptions!$B$34*'Revenue Build'!M$5</f>
        <v/>
      </c>
      <c r="N9" s="14">
        <f>Assumptions!$B$34*'Revenue Build'!N$5</f>
        <v/>
      </c>
      <c r="O9" s="14">
        <f>SUM(C9:N9)</f>
        <v/>
      </c>
    </row>
    <row r="10" ht="16" customHeight="1" s="130">
      <c r="A10" s="5" t="n"/>
      <c r="B10" s="13" t="inlineStr">
        <is>
          <t>Revenue (AED)</t>
        </is>
      </c>
      <c r="C10" s="14">
        <f>C9*Assumptions!$B$41</f>
        <v/>
      </c>
      <c r="D10" s="14">
        <f>D9*Assumptions!$B$41</f>
        <v/>
      </c>
      <c r="E10" s="14">
        <f>E9*Assumptions!$B$41</f>
        <v/>
      </c>
      <c r="F10" s="14">
        <f>F9*Assumptions!$B$41</f>
        <v/>
      </c>
      <c r="G10" s="14">
        <f>G9*Assumptions!$B$41</f>
        <v/>
      </c>
      <c r="H10" s="14">
        <f>H9*Assumptions!$B$41</f>
        <v/>
      </c>
      <c r="I10" s="14">
        <f>I9*Assumptions!$B$41</f>
        <v/>
      </c>
      <c r="J10" s="14">
        <f>J9*Assumptions!$B$41</f>
        <v/>
      </c>
      <c r="K10" s="14">
        <f>K9*Assumptions!$B$41</f>
        <v/>
      </c>
      <c r="L10" s="14">
        <f>L9*Assumptions!$B$41</f>
        <v/>
      </c>
      <c r="M10" s="14">
        <f>M9*Assumptions!$B$41</f>
        <v/>
      </c>
      <c r="N10" s="14">
        <f>N9*Assumptions!$B$41</f>
        <v/>
      </c>
      <c r="O10" s="14">
        <f>SUM(C10:N10)</f>
        <v/>
      </c>
    </row>
    <row r="11" ht="16" customHeight="1" s="130">
      <c r="A11" s="5" t="inlineStr">
        <is>
          <t>Kids' Wear</t>
        </is>
      </c>
      <c r="B11" s="13" t="inlineStr">
        <is>
          <t>Units</t>
        </is>
      </c>
      <c r="C11" s="14">
        <f>Assumptions!$B$35*'Revenue Build'!C$5</f>
        <v/>
      </c>
      <c r="D11" s="14">
        <f>Assumptions!$B$35*'Revenue Build'!D$5</f>
        <v/>
      </c>
      <c r="E11" s="14">
        <f>Assumptions!$B$35*'Revenue Build'!E$5</f>
        <v/>
      </c>
      <c r="F11" s="14">
        <f>Assumptions!$B$35*'Revenue Build'!F$5</f>
        <v/>
      </c>
      <c r="G11" s="14">
        <f>Assumptions!$B$35*'Revenue Build'!G$5</f>
        <v/>
      </c>
      <c r="H11" s="14">
        <f>Assumptions!$B$35*'Revenue Build'!H$5</f>
        <v/>
      </c>
      <c r="I11" s="14">
        <f>Assumptions!$B$35*'Revenue Build'!I$5</f>
        <v/>
      </c>
      <c r="J11" s="14">
        <f>Assumptions!$B$35*'Revenue Build'!J$5</f>
        <v/>
      </c>
      <c r="K11" s="14">
        <f>Assumptions!$B$35*'Revenue Build'!K$5</f>
        <v/>
      </c>
      <c r="L11" s="14">
        <f>Assumptions!$B$35*'Revenue Build'!L$5</f>
        <v/>
      </c>
      <c r="M11" s="14">
        <f>Assumptions!$B$35*'Revenue Build'!M$5</f>
        <v/>
      </c>
      <c r="N11" s="14">
        <f>Assumptions!$B$35*'Revenue Build'!N$5</f>
        <v/>
      </c>
      <c r="O11" s="14">
        <f>SUM(C11:N11)</f>
        <v/>
      </c>
    </row>
    <row r="12" ht="16" customHeight="1" s="130">
      <c r="A12" s="5" t="n"/>
      <c r="B12" s="13" t="inlineStr">
        <is>
          <t>Revenue (AED)</t>
        </is>
      </c>
      <c r="C12" s="14">
        <f>C11*Assumptions!$B$42</f>
        <v/>
      </c>
      <c r="D12" s="14">
        <f>D11*Assumptions!$B$42</f>
        <v/>
      </c>
      <c r="E12" s="14">
        <f>E11*Assumptions!$B$42</f>
        <v/>
      </c>
      <c r="F12" s="14">
        <f>F11*Assumptions!$B$42</f>
        <v/>
      </c>
      <c r="G12" s="14">
        <f>G11*Assumptions!$B$42</f>
        <v/>
      </c>
      <c r="H12" s="14">
        <f>H11*Assumptions!$B$42</f>
        <v/>
      </c>
      <c r="I12" s="14">
        <f>I11*Assumptions!$B$42</f>
        <v/>
      </c>
      <c r="J12" s="14">
        <f>J11*Assumptions!$B$42</f>
        <v/>
      </c>
      <c r="K12" s="14">
        <f>K11*Assumptions!$B$42</f>
        <v/>
      </c>
      <c r="L12" s="14">
        <f>L11*Assumptions!$B$42</f>
        <v/>
      </c>
      <c r="M12" s="14">
        <f>M11*Assumptions!$B$42</f>
        <v/>
      </c>
      <c r="N12" s="14">
        <f>N11*Assumptions!$B$42</f>
        <v/>
      </c>
      <c r="O12" s="14">
        <f>SUM(C12:N12)</f>
        <v/>
      </c>
    </row>
    <row r="13" ht="16" customHeight="1" s="130">
      <c r="A13" s="5" t="inlineStr">
        <is>
          <t>Accessories</t>
        </is>
      </c>
      <c r="B13" s="13" t="inlineStr">
        <is>
          <t>Units</t>
        </is>
      </c>
      <c r="C13" s="14">
        <f>Assumptions!$B$36*'Revenue Build'!C$5</f>
        <v/>
      </c>
      <c r="D13" s="14">
        <f>Assumptions!$B$36*'Revenue Build'!D$5</f>
        <v/>
      </c>
      <c r="E13" s="14">
        <f>Assumptions!$B$36*'Revenue Build'!E$5</f>
        <v/>
      </c>
      <c r="F13" s="14">
        <f>Assumptions!$B$36*'Revenue Build'!F$5</f>
        <v/>
      </c>
      <c r="G13" s="14">
        <f>Assumptions!$B$36*'Revenue Build'!G$5</f>
        <v/>
      </c>
      <c r="H13" s="14">
        <f>Assumptions!$B$36*'Revenue Build'!H$5</f>
        <v/>
      </c>
      <c r="I13" s="14">
        <f>Assumptions!$B$36*'Revenue Build'!I$5</f>
        <v/>
      </c>
      <c r="J13" s="14">
        <f>Assumptions!$B$36*'Revenue Build'!J$5</f>
        <v/>
      </c>
      <c r="K13" s="14">
        <f>Assumptions!$B$36*'Revenue Build'!K$5</f>
        <v/>
      </c>
      <c r="L13" s="14">
        <f>Assumptions!$B$36*'Revenue Build'!L$5</f>
        <v/>
      </c>
      <c r="M13" s="14">
        <f>Assumptions!$B$36*'Revenue Build'!M$5</f>
        <v/>
      </c>
      <c r="N13" s="14">
        <f>Assumptions!$B$36*'Revenue Build'!N$5</f>
        <v/>
      </c>
      <c r="O13" s="14">
        <f>SUM(C13:N13)</f>
        <v/>
      </c>
    </row>
    <row r="14" ht="16" customHeight="1" s="130">
      <c r="A14" s="5" t="n"/>
      <c r="B14" s="13" t="inlineStr">
        <is>
          <t>Revenue (AED)</t>
        </is>
      </c>
      <c r="C14" s="14">
        <f>C13*Assumptions!$B$43</f>
        <v/>
      </c>
      <c r="D14" s="14">
        <f>D13*Assumptions!$B$43</f>
        <v/>
      </c>
      <c r="E14" s="14">
        <f>E13*Assumptions!$B$43</f>
        <v/>
      </c>
      <c r="F14" s="14">
        <f>F13*Assumptions!$B$43</f>
        <v/>
      </c>
      <c r="G14" s="14">
        <f>G13*Assumptions!$B$43</f>
        <v/>
      </c>
      <c r="H14" s="14">
        <f>H13*Assumptions!$B$43</f>
        <v/>
      </c>
      <c r="I14" s="14">
        <f>I13*Assumptions!$B$43</f>
        <v/>
      </c>
      <c r="J14" s="14">
        <f>J13*Assumptions!$B$43</f>
        <v/>
      </c>
      <c r="K14" s="14">
        <f>K13*Assumptions!$B$43</f>
        <v/>
      </c>
      <c r="L14" s="14">
        <f>L13*Assumptions!$B$43</f>
        <v/>
      </c>
      <c r="M14" s="14">
        <f>M13*Assumptions!$B$43</f>
        <v/>
      </c>
      <c r="N14" s="14">
        <f>N13*Assumptions!$B$43</f>
        <v/>
      </c>
      <c r="O14" s="14">
        <f>SUM(C14:N14)</f>
        <v/>
      </c>
    </row>
    <row r="15" ht="16" customHeight="1" s="130">
      <c r="A15" s="15" t="inlineStr">
        <is>
          <t>Dubai Mall — Total Revenue</t>
        </is>
      </c>
      <c r="B15" s="16" t="inlineStr">
        <is>
          <t>AED</t>
        </is>
      </c>
      <c r="C15" s="17">
        <f>C8+C10+C12+C14</f>
        <v/>
      </c>
      <c r="D15" s="17">
        <f>D8+D10+D12+D14</f>
        <v/>
      </c>
      <c r="E15" s="17">
        <f>E8+E10+E12+E14</f>
        <v/>
      </c>
      <c r="F15" s="17">
        <f>F8+F10+F12+F14</f>
        <v/>
      </c>
      <c r="G15" s="17">
        <f>G8+G10+G12+G14</f>
        <v/>
      </c>
      <c r="H15" s="17">
        <f>H8+H10+H12+H14</f>
        <v/>
      </c>
      <c r="I15" s="17">
        <f>I8+I10+I12+I14</f>
        <v/>
      </c>
      <c r="J15" s="17">
        <f>J8+J10+J12+J14</f>
        <v/>
      </c>
      <c r="K15" s="17">
        <f>K8+K10+K12+K14</f>
        <v/>
      </c>
      <c r="L15" s="17">
        <f>L8+L10+L12+L14</f>
        <v/>
      </c>
      <c r="M15" s="17">
        <f>M8+M10+M12+M14</f>
        <v/>
      </c>
      <c r="N15" s="17">
        <f>N8+N10+N12+N14</f>
        <v/>
      </c>
      <c r="O15" s="17">
        <f>O8+O10+O12+O14</f>
        <v/>
      </c>
    </row>
    <row r="17" ht="16" customHeight="1" s="130">
      <c r="A17" s="140" t="inlineStr">
        <is>
          <t>Marina Mall</t>
        </is>
      </c>
    </row>
    <row r="18" ht="16" customHeight="1" s="130">
      <c r="A18" s="5" t="inlineStr">
        <is>
          <t>Women's Wear</t>
        </is>
      </c>
      <c r="B18" s="13" t="inlineStr">
        <is>
          <t>Units</t>
        </is>
      </c>
      <c r="C18" s="14">
        <f>Assumptions!$C$33*'Revenue Build'!C$5</f>
        <v/>
      </c>
      <c r="D18" s="14">
        <f>Assumptions!$C$33*'Revenue Build'!D$5</f>
        <v/>
      </c>
      <c r="E18" s="14">
        <f>Assumptions!$C$33*'Revenue Build'!E$5</f>
        <v/>
      </c>
      <c r="F18" s="14">
        <f>Assumptions!$C$33*'Revenue Build'!F$5</f>
        <v/>
      </c>
      <c r="G18" s="14">
        <f>Assumptions!$C$33*'Revenue Build'!G$5</f>
        <v/>
      </c>
      <c r="H18" s="14">
        <f>Assumptions!$C$33*'Revenue Build'!H$5</f>
        <v/>
      </c>
      <c r="I18" s="14">
        <f>Assumptions!$C$33*'Revenue Build'!I$5</f>
        <v/>
      </c>
      <c r="J18" s="14">
        <f>Assumptions!$C$33*'Revenue Build'!J$5</f>
        <v/>
      </c>
      <c r="K18" s="14">
        <f>Assumptions!$C$33*'Revenue Build'!K$5</f>
        <v/>
      </c>
      <c r="L18" s="14">
        <f>Assumptions!$C$33*'Revenue Build'!L$5</f>
        <v/>
      </c>
      <c r="M18" s="14">
        <f>Assumptions!$C$33*'Revenue Build'!M$5</f>
        <v/>
      </c>
      <c r="N18" s="14">
        <f>Assumptions!$C$33*'Revenue Build'!N$5</f>
        <v/>
      </c>
      <c r="O18" s="14">
        <f>SUM(C18:N18)</f>
        <v/>
      </c>
    </row>
    <row r="19" ht="16" customHeight="1" s="130">
      <c r="A19" s="5" t="n"/>
      <c r="B19" s="13" t="inlineStr">
        <is>
          <t>Revenue (AED)</t>
        </is>
      </c>
      <c r="C19" s="14">
        <f>Assumptions!$B$40*'Revenue Build'!C18</f>
        <v/>
      </c>
      <c r="D19" s="14">
        <f>Assumptions!$B$40*'Revenue Build'!D18</f>
        <v/>
      </c>
      <c r="E19" s="14">
        <f>Assumptions!$B$40*'Revenue Build'!E18</f>
        <v/>
      </c>
      <c r="F19" s="14">
        <f>Assumptions!$B$40*'Revenue Build'!F18</f>
        <v/>
      </c>
      <c r="G19" s="14">
        <f>Assumptions!$B$40*'Revenue Build'!G18</f>
        <v/>
      </c>
      <c r="H19" s="14">
        <f>Assumptions!$B$40*'Revenue Build'!H18</f>
        <v/>
      </c>
      <c r="I19" s="14">
        <f>Assumptions!$B$40*'Revenue Build'!I18</f>
        <v/>
      </c>
      <c r="J19" s="14">
        <f>Assumptions!$B$40*'Revenue Build'!J18</f>
        <v/>
      </c>
      <c r="K19" s="14">
        <f>Assumptions!$B$40*'Revenue Build'!K18</f>
        <v/>
      </c>
      <c r="L19" s="14">
        <f>Assumptions!$B$40*'Revenue Build'!L18</f>
        <v/>
      </c>
      <c r="M19" s="14">
        <f>Assumptions!$B$40*'Revenue Build'!M18</f>
        <v/>
      </c>
      <c r="N19" s="14">
        <f>Assumptions!$B$40*'Revenue Build'!N18</f>
        <v/>
      </c>
      <c r="O19" s="14">
        <f>SUM(C19:N19)</f>
        <v/>
      </c>
    </row>
    <row r="20" ht="16" customHeight="1" s="130">
      <c r="A20" s="5" t="inlineStr">
        <is>
          <t>Men's Wear</t>
        </is>
      </c>
      <c r="B20" s="13" t="inlineStr">
        <is>
          <t>Units</t>
        </is>
      </c>
      <c r="C20" s="14">
        <f>Assumptions!$C$34*'Revenue Build'!C$5</f>
        <v/>
      </c>
      <c r="D20" s="14">
        <f>Assumptions!$C$34*'Revenue Build'!D$5</f>
        <v/>
      </c>
      <c r="E20" s="14">
        <f>Assumptions!$C$34*'Revenue Build'!E$5</f>
        <v/>
      </c>
      <c r="F20" s="14">
        <f>Assumptions!$C$34*'Revenue Build'!F$5</f>
        <v/>
      </c>
      <c r="G20" s="14">
        <f>Assumptions!$C$34*'Revenue Build'!G$5</f>
        <v/>
      </c>
      <c r="H20" s="14">
        <f>Assumptions!$C$34*'Revenue Build'!H$5</f>
        <v/>
      </c>
      <c r="I20" s="14">
        <f>Assumptions!$C$34*'Revenue Build'!I$5</f>
        <v/>
      </c>
      <c r="J20" s="14">
        <f>Assumptions!$C$34*'Revenue Build'!J$5</f>
        <v/>
      </c>
      <c r="K20" s="14">
        <f>Assumptions!$C$34*'Revenue Build'!K$5</f>
        <v/>
      </c>
      <c r="L20" s="14">
        <f>Assumptions!$C$34*'Revenue Build'!L$5</f>
        <v/>
      </c>
      <c r="M20" s="14">
        <f>Assumptions!$C$34*'Revenue Build'!M$5</f>
        <v/>
      </c>
      <c r="N20" s="14">
        <f>Assumptions!$C$34*'Revenue Build'!N$5</f>
        <v/>
      </c>
      <c r="O20" s="14">
        <f>SUM(C20:N20)</f>
        <v/>
      </c>
    </row>
    <row r="21" ht="16" customHeight="1" s="130">
      <c r="A21" s="5" t="n"/>
      <c r="B21" s="13" t="inlineStr">
        <is>
          <t>Revenue (AED)</t>
        </is>
      </c>
      <c r="C21" s="14">
        <f>C20*Assumptions!$B$41</f>
        <v/>
      </c>
      <c r="D21" s="14">
        <f>D20*Assumptions!$B$41</f>
        <v/>
      </c>
      <c r="E21" s="14">
        <f>E20*Assumptions!$B$41</f>
        <v/>
      </c>
      <c r="F21" s="14">
        <f>F20*Assumptions!$B$41</f>
        <v/>
      </c>
      <c r="G21" s="14">
        <f>G20*Assumptions!$B$41</f>
        <v/>
      </c>
      <c r="H21" s="14">
        <f>H20*Assumptions!$B$41</f>
        <v/>
      </c>
      <c r="I21" s="14">
        <f>I20*Assumptions!$B$41</f>
        <v/>
      </c>
      <c r="J21" s="14">
        <f>J20*Assumptions!$B$41</f>
        <v/>
      </c>
      <c r="K21" s="14">
        <f>K20*Assumptions!$B$41</f>
        <v/>
      </c>
      <c r="L21" s="14">
        <f>L20*Assumptions!$B$41</f>
        <v/>
      </c>
      <c r="M21" s="14">
        <f>M20*Assumptions!$B$41</f>
        <v/>
      </c>
      <c r="N21" s="14">
        <f>N20*Assumptions!$B$41</f>
        <v/>
      </c>
      <c r="O21" s="14">
        <f>SUM(C21:N21)</f>
        <v/>
      </c>
    </row>
    <row r="22" ht="16" customHeight="1" s="130">
      <c r="A22" s="5" t="inlineStr">
        <is>
          <t>Kids' Wear</t>
        </is>
      </c>
      <c r="B22" s="13" t="inlineStr">
        <is>
          <t>Units</t>
        </is>
      </c>
      <c r="C22" s="14">
        <f>Assumptions!$C$35*'Revenue Build'!C$5</f>
        <v/>
      </c>
      <c r="D22" s="14">
        <f>Assumptions!$C$35*'Revenue Build'!D$5</f>
        <v/>
      </c>
      <c r="E22" s="14">
        <f>Assumptions!$C$35*'Revenue Build'!E$5</f>
        <v/>
      </c>
      <c r="F22" s="14">
        <f>Assumptions!$C$35*'Revenue Build'!F$5</f>
        <v/>
      </c>
      <c r="G22" s="14">
        <f>Assumptions!$C$35*'Revenue Build'!G$5</f>
        <v/>
      </c>
      <c r="H22" s="14">
        <f>Assumptions!$C$35*'Revenue Build'!H$5</f>
        <v/>
      </c>
      <c r="I22" s="14">
        <f>Assumptions!$C$35*'Revenue Build'!I$5</f>
        <v/>
      </c>
      <c r="J22" s="14">
        <f>Assumptions!$C$35*'Revenue Build'!J$5</f>
        <v/>
      </c>
      <c r="K22" s="14">
        <f>Assumptions!$C$35*'Revenue Build'!K$5</f>
        <v/>
      </c>
      <c r="L22" s="14">
        <f>Assumptions!$C$35*'Revenue Build'!L$5</f>
        <v/>
      </c>
      <c r="M22" s="14">
        <f>Assumptions!$C$35*'Revenue Build'!M$5</f>
        <v/>
      </c>
      <c r="N22" s="14">
        <f>Assumptions!$C$35*'Revenue Build'!N$5</f>
        <v/>
      </c>
      <c r="O22" s="14">
        <f>SUM(C22:N22)</f>
        <v/>
      </c>
    </row>
    <row r="23" ht="16" customHeight="1" s="130">
      <c r="A23" s="5" t="n"/>
      <c r="B23" s="13" t="inlineStr">
        <is>
          <t>Revenue (AED)</t>
        </is>
      </c>
      <c r="C23" s="14">
        <f>C22*Assumptions!$B$42</f>
        <v/>
      </c>
      <c r="D23" s="14">
        <f>D22*Assumptions!$B$42</f>
        <v/>
      </c>
      <c r="E23" s="14">
        <f>E22*Assumptions!$B$42</f>
        <v/>
      </c>
      <c r="F23" s="14">
        <f>F22*Assumptions!$B$42</f>
        <v/>
      </c>
      <c r="G23" s="14">
        <f>G22*Assumptions!$B$42</f>
        <v/>
      </c>
      <c r="H23" s="14">
        <f>H22*Assumptions!$B$42</f>
        <v/>
      </c>
      <c r="I23" s="14">
        <f>I22*Assumptions!$B$42</f>
        <v/>
      </c>
      <c r="J23" s="14">
        <f>J22*Assumptions!$B$42</f>
        <v/>
      </c>
      <c r="K23" s="14">
        <f>K22*Assumptions!$B$42</f>
        <v/>
      </c>
      <c r="L23" s="14">
        <f>L22*Assumptions!$B$42</f>
        <v/>
      </c>
      <c r="M23" s="14">
        <f>M22*Assumptions!$B$42</f>
        <v/>
      </c>
      <c r="N23" s="14">
        <f>N22*Assumptions!$B$42</f>
        <v/>
      </c>
      <c r="O23" s="14">
        <f>SUM(C23:N23)</f>
        <v/>
      </c>
    </row>
    <row r="24" ht="16" customHeight="1" s="130">
      <c r="A24" s="5" t="inlineStr">
        <is>
          <t>Accessories</t>
        </is>
      </c>
      <c r="B24" s="13" t="inlineStr">
        <is>
          <t>Units</t>
        </is>
      </c>
      <c r="C24" s="14">
        <f>Assumptions!$C$36*'Revenue Build'!C$5</f>
        <v/>
      </c>
      <c r="D24" s="14">
        <f>Assumptions!$C$36*'Revenue Build'!D$5</f>
        <v/>
      </c>
      <c r="E24" s="14">
        <f>Assumptions!$C$36*'Revenue Build'!E$5</f>
        <v/>
      </c>
      <c r="F24" s="14">
        <f>Assumptions!$C$36*'Revenue Build'!F$5</f>
        <v/>
      </c>
      <c r="G24" s="14">
        <f>Assumptions!$C$36*'Revenue Build'!G$5</f>
        <v/>
      </c>
      <c r="H24" s="14">
        <f>Assumptions!$C$36*'Revenue Build'!H$5</f>
        <v/>
      </c>
      <c r="I24" s="14">
        <f>Assumptions!$C$36*'Revenue Build'!I$5</f>
        <v/>
      </c>
      <c r="J24" s="14">
        <f>Assumptions!$C$36*'Revenue Build'!J$5</f>
        <v/>
      </c>
      <c r="K24" s="14">
        <f>Assumptions!$C$36*'Revenue Build'!K$5</f>
        <v/>
      </c>
      <c r="L24" s="14">
        <f>Assumptions!$C$36*'Revenue Build'!L$5</f>
        <v/>
      </c>
      <c r="M24" s="14">
        <f>Assumptions!$C$36*'Revenue Build'!M$5</f>
        <v/>
      </c>
      <c r="N24" s="14">
        <f>Assumptions!$C$36*'Revenue Build'!N$5</f>
        <v/>
      </c>
      <c r="O24" s="14">
        <f>SUM(C24:N24)</f>
        <v/>
      </c>
    </row>
    <row r="25" ht="16" customHeight="1" s="130">
      <c r="A25" s="5" t="n"/>
      <c r="B25" s="13" t="inlineStr">
        <is>
          <t>Revenue (AED)</t>
        </is>
      </c>
      <c r="C25" s="14">
        <f>C24*Assumptions!$B$43</f>
        <v/>
      </c>
      <c r="D25" s="14">
        <f>D24*Assumptions!$B$43</f>
        <v/>
      </c>
      <c r="E25" s="14">
        <f>E24*Assumptions!$B$43</f>
        <v/>
      </c>
      <c r="F25" s="14">
        <f>F24*Assumptions!$B$43</f>
        <v/>
      </c>
      <c r="G25" s="14">
        <f>G24*Assumptions!$B$43</f>
        <v/>
      </c>
      <c r="H25" s="14">
        <f>H24*Assumptions!$B$43</f>
        <v/>
      </c>
      <c r="I25" s="14">
        <f>I24*Assumptions!$B$43</f>
        <v/>
      </c>
      <c r="J25" s="14">
        <f>J24*Assumptions!$B$43</f>
        <v/>
      </c>
      <c r="K25" s="14">
        <f>K24*Assumptions!$B$43</f>
        <v/>
      </c>
      <c r="L25" s="14">
        <f>L24*Assumptions!$B$43</f>
        <v/>
      </c>
      <c r="M25" s="14">
        <f>M24*Assumptions!$B$43</f>
        <v/>
      </c>
      <c r="N25" s="14">
        <f>N24*Assumptions!$B$43</f>
        <v/>
      </c>
      <c r="O25" s="14">
        <f>SUM(C25:N25)</f>
        <v/>
      </c>
    </row>
    <row r="26" ht="16" customHeight="1" s="130">
      <c r="A26" s="15" t="inlineStr">
        <is>
          <t>Marina Mall — Total Revenue</t>
        </is>
      </c>
      <c r="B26" s="16" t="inlineStr">
        <is>
          <t>AED</t>
        </is>
      </c>
      <c r="C26" s="17">
        <f>C19+C21+C23+C25</f>
        <v/>
      </c>
      <c r="D26" s="17">
        <f>D19+D21+D23+D25</f>
        <v/>
      </c>
      <c r="E26" s="17">
        <f>E19+E21+E23+E25</f>
        <v/>
      </c>
      <c r="F26" s="17">
        <f>F19+F21+F23+F25</f>
        <v/>
      </c>
      <c r="G26" s="17">
        <f>G19+G21+G23+G25</f>
        <v/>
      </c>
      <c r="H26" s="17">
        <f>H19+H21+H23+H25</f>
        <v/>
      </c>
      <c r="I26" s="17">
        <f>I19+I21+I23+I25</f>
        <v/>
      </c>
      <c r="J26" s="17">
        <f>J19+J21+J23+J25</f>
        <v/>
      </c>
      <c r="K26" s="17">
        <f>K19+K21+K23+K25</f>
        <v/>
      </c>
      <c r="L26" s="17">
        <f>L19+L21+L23+L25</f>
        <v/>
      </c>
      <c r="M26" s="17">
        <f>M19+M21+M23+M25</f>
        <v/>
      </c>
      <c r="N26" s="17">
        <f>N19+N21+N23+N25</f>
        <v/>
      </c>
      <c r="O26" s="17">
        <f>O19+O21+O23+O25</f>
        <v/>
      </c>
    </row>
    <row r="28" ht="16" customHeight="1" s="130">
      <c r="A28" s="140" t="inlineStr">
        <is>
          <t>Online</t>
        </is>
      </c>
    </row>
    <row r="29" ht="16" customHeight="1" s="130">
      <c r="A29" s="5" t="inlineStr">
        <is>
          <t>Women's Wear</t>
        </is>
      </c>
      <c r="B29" s="13" t="inlineStr">
        <is>
          <t>Units</t>
        </is>
      </c>
      <c r="C29" s="14">
        <f>Assumptions!$D$33*'Revenue Build'!C$5</f>
        <v/>
      </c>
      <c r="D29" s="14">
        <f>Assumptions!$D$33*'Revenue Build'!D$5</f>
        <v/>
      </c>
      <c r="E29" s="14">
        <f>Assumptions!$D$33*'Revenue Build'!E$5</f>
        <v/>
      </c>
      <c r="F29" s="14">
        <f>Assumptions!$D$33*'Revenue Build'!F$5</f>
        <v/>
      </c>
      <c r="G29" s="14">
        <f>Assumptions!$D$33*'Revenue Build'!G$5</f>
        <v/>
      </c>
      <c r="H29" s="14">
        <f>Assumptions!$D$33*'Revenue Build'!H$5</f>
        <v/>
      </c>
      <c r="I29" s="14">
        <f>Assumptions!$D$33*'Revenue Build'!I$5</f>
        <v/>
      </c>
      <c r="J29" s="14">
        <f>Assumptions!$D$33*'Revenue Build'!J$5</f>
        <v/>
      </c>
      <c r="K29" s="14">
        <f>Assumptions!$D$33*'Revenue Build'!K$5</f>
        <v/>
      </c>
      <c r="L29" s="14">
        <f>Assumptions!$D$33*'Revenue Build'!L$5</f>
        <v/>
      </c>
      <c r="M29" s="14">
        <f>Assumptions!$D$33*'Revenue Build'!M$5</f>
        <v/>
      </c>
      <c r="N29" s="14">
        <f>Assumptions!$D$33*'Revenue Build'!N$5</f>
        <v/>
      </c>
      <c r="O29" s="14">
        <f>SUM(C29:N29)</f>
        <v/>
      </c>
    </row>
    <row r="30" ht="16" customHeight="1" s="130">
      <c r="A30" s="5" t="n"/>
      <c r="B30" s="13" t="inlineStr">
        <is>
          <t>Revenue (AED)</t>
        </is>
      </c>
      <c r="C30" s="14">
        <f>Assumptions!$B$40*'Revenue Build'!C29</f>
        <v/>
      </c>
      <c r="D30" s="14">
        <f>Assumptions!$B$40*'Revenue Build'!D29</f>
        <v/>
      </c>
      <c r="E30" s="14">
        <f>Assumptions!$B$40*'Revenue Build'!E29</f>
        <v/>
      </c>
      <c r="F30" s="14">
        <f>Assumptions!$B$40*'Revenue Build'!F29</f>
        <v/>
      </c>
      <c r="G30" s="14">
        <f>Assumptions!$B$40*'Revenue Build'!G29</f>
        <v/>
      </c>
      <c r="H30" s="14">
        <f>Assumptions!$B$40*'Revenue Build'!H29</f>
        <v/>
      </c>
      <c r="I30" s="14">
        <f>Assumptions!$B$40*'Revenue Build'!I29</f>
        <v/>
      </c>
      <c r="J30" s="14">
        <f>Assumptions!$B$40*'Revenue Build'!J29</f>
        <v/>
      </c>
      <c r="K30" s="14">
        <f>Assumptions!$B$40*'Revenue Build'!K29</f>
        <v/>
      </c>
      <c r="L30" s="14">
        <f>Assumptions!$B$40*'Revenue Build'!L29</f>
        <v/>
      </c>
      <c r="M30" s="14">
        <f>Assumptions!$B$40*'Revenue Build'!M29</f>
        <v/>
      </c>
      <c r="N30" s="14">
        <f>Assumptions!$B$40*'Revenue Build'!N29</f>
        <v/>
      </c>
      <c r="O30" s="14">
        <f>SUM(C30:N30)</f>
        <v/>
      </c>
    </row>
    <row r="31" ht="16" customHeight="1" s="130">
      <c r="A31" s="5" t="inlineStr">
        <is>
          <t>Men's Wear</t>
        </is>
      </c>
      <c r="B31" s="13" t="inlineStr">
        <is>
          <t>Units</t>
        </is>
      </c>
      <c r="C31" s="14">
        <f>Assumptions!$D$34*'Revenue Build'!C$5</f>
        <v/>
      </c>
      <c r="D31" s="14">
        <f>Assumptions!$D$34*'Revenue Build'!D$5</f>
        <v/>
      </c>
      <c r="E31" s="14">
        <f>Assumptions!$D$34*'Revenue Build'!E$5</f>
        <v/>
      </c>
      <c r="F31" s="14">
        <f>Assumptions!$D$34*'Revenue Build'!F$5</f>
        <v/>
      </c>
      <c r="G31" s="14">
        <f>Assumptions!$D$34*'Revenue Build'!G$5</f>
        <v/>
      </c>
      <c r="H31" s="14">
        <f>Assumptions!$D$34*'Revenue Build'!H$5</f>
        <v/>
      </c>
      <c r="I31" s="14">
        <f>Assumptions!$D$34*'Revenue Build'!I$5</f>
        <v/>
      </c>
      <c r="J31" s="14">
        <f>Assumptions!$D$34*'Revenue Build'!J$5</f>
        <v/>
      </c>
      <c r="K31" s="14">
        <f>Assumptions!$D$34*'Revenue Build'!K$5</f>
        <v/>
      </c>
      <c r="L31" s="14">
        <f>Assumptions!$D$34*'Revenue Build'!L$5</f>
        <v/>
      </c>
      <c r="M31" s="14">
        <f>Assumptions!$D$34*'Revenue Build'!M$5</f>
        <v/>
      </c>
      <c r="N31" s="14">
        <f>Assumptions!$D$34*'Revenue Build'!N$5</f>
        <v/>
      </c>
      <c r="O31" s="14">
        <f>SUM(C31:N31)</f>
        <v/>
      </c>
    </row>
    <row r="32" ht="16" customHeight="1" s="130">
      <c r="A32" s="5" t="n"/>
      <c r="B32" s="13" t="inlineStr">
        <is>
          <t>Revenue (AED)</t>
        </is>
      </c>
      <c r="C32" s="14">
        <f>C31*Assumptions!$B$41</f>
        <v/>
      </c>
      <c r="D32" s="14">
        <f>D31*Assumptions!$B$41</f>
        <v/>
      </c>
      <c r="E32" s="14">
        <f>E31*Assumptions!$B$41</f>
        <v/>
      </c>
      <c r="F32" s="14">
        <f>F31*Assumptions!$B$41</f>
        <v/>
      </c>
      <c r="G32" s="14">
        <f>G31*Assumptions!$B$41</f>
        <v/>
      </c>
      <c r="H32" s="14">
        <f>H31*Assumptions!$B$41</f>
        <v/>
      </c>
      <c r="I32" s="14">
        <f>I31*Assumptions!$B$41</f>
        <v/>
      </c>
      <c r="J32" s="14">
        <f>J31*Assumptions!$B$41</f>
        <v/>
      </c>
      <c r="K32" s="14">
        <f>K31*Assumptions!$B$41</f>
        <v/>
      </c>
      <c r="L32" s="14">
        <f>L31*Assumptions!$B$41</f>
        <v/>
      </c>
      <c r="M32" s="14">
        <f>M31*Assumptions!$B$41</f>
        <v/>
      </c>
      <c r="N32" s="14">
        <f>N31*Assumptions!$B$41</f>
        <v/>
      </c>
      <c r="O32" s="14">
        <f>SUM(C32:N32)</f>
        <v/>
      </c>
    </row>
    <row r="33" ht="16" customHeight="1" s="130">
      <c r="A33" s="5" t="inlineStr">
        <is>
          <t>Kids' Wear</t>
        </is>
      </c>
      <c r="B33" s="13" t="inlineStr">
        <is>
          <t>Units</t>
        </is>
      </c>
      <c r="C33" s="14">
        <f>Assumptions!$D$35*'Revenue Build'!C$5</f>
        <v/>
      </c>
      <c r="D33" s="14">
        <f>Assumptions!$D$35*'Revenue Build'!D$5</f>
        <v/>
      </c>
      <c r="E33" s="14">
        <f>Assumptions!$D$35*'Revenue Build'!E$5</f>
        <v/>
      </c>
      <c r="F33" s="14">
        <f>Assumptions!$D$35*'Revenue Build'!F$5</f>
        <v/>
      </c>
      <c r="G33" s="14">
        <f>Assumptions!$D$35*'Revenue Build'!G$5</f>
        <v/>
      </c>
      <c r="H33" s="14">
        <f>Assumptions!$D$35*'Revenue Build'!H$5</f>
        <v/>
      </c>
      <c r="I33" s="14">
        <f>Assumptions!$D$35*'Revenue Build'!I$5</f>
        <v/>
      </c>
      <c r="J33" s="14">
        <f>Assumptions!$D$35*'Revenue Build'!J$5</f>
        <v/>
      </c>
      <c r="K33" s="14">
        <f>Assumptions!$D$35*'Revenue Build'!K$5</f>
        <v/>
      </c>
      <c r="L33" s="14">
        <f>Assumptions!$D$35*'Revenue Build'!L$5</f>
        <v/>
      </c>
      <c r="M33" s="14">
        <f>Assumptions!$D$35*'Revenue Build'!M$5</f>
        <v/>
      </c>
      <c r="N33" s="14">
        <f>Assumptions!$D$35*'Revenue Build'!N$5</f>
        <v/>
      </c>
      <c r="O33" s="14">
        <f>SUM(C33:N33)</f>
        <v/>
      </c>
    </row>
    <row r="34" ht="16" customHeight="1" s="130">
      <c r="A34" s="5" t="n"/>
      <c r="B34" s="13" t="inlineStr">
        <is>
          <t>Revenue (AED)</t>
        </is>
      </c>
      <c r="C34" s="14">
        <f>C33*Assumptions!$B$42</f>
        <v/>
      </c>
      <c r="D34" s="14">
        <f>D33*Assumptions!$B$42</f>
        <v/>
      </c>
      <c r="E34" s="14">
        <f>E33*Assumptions!$B$42</f>
        <v/>
      </c>
      <c r="F34" s="14">
        <f>F33*Assumptions!$B$42</f>
        <v/>
      </c>
      <c r="G34" s="14">
        <f>G33*Assumptions!$B$42</f>
        <v/>
      </c>
      <c r="H34" s="14">
        <f>H33*Assumptions!$B$42</f>
        <v/>
      </c>
      <c r="I34" s="14">
        <f>I33*Assumptions!$B$42</f>
        <v/>
      </c>
      <c r="J34" s="14">
        <f>J33*Assumptions!$B$42</f>
        <v/>
      </c>
      <c r="K34" s="14">
        <f>K33*Assumptions!$B$42</f>
        <v/>
      </c>
      <c r="L34" s="14">
        <f>L33*Assumptions!$B$42</f>
        <v/>
      </c>
      <c r="M34" s="14">
        <f>M33*Assumptions!$B$42</f>
        <v/>
      </c>
      <c r="N34" s="14">
        <f>N33*Assumptions!$B$42</f>
        <v/>
      </c>
      <c r="O34" s="14">
        <f>SUM(C34:N34)</f>
        <v/>
      </c>
    </row>
    <row r="35" ht="16" customHeight="1" s="130">
      <c r="A35" s="5" t="inlineStr">
        <is>
          <t>Accessories</t>
        </is>
      </c>
      <c r="B35" s="13" t="inlineStr">
        <is>
          <t>Units</t>
        </is>
      </c>
      <c r="C35" s="14">
        <f>Assumptions!$D$36*'Revenue Build'!C$5</f>
        <v/>
      </c>
      <c r="D35" s="14">
        <f>Assumptions!$D$36*'Revenue Build'!D$5</f>
        <v/>
      </c>
      <c r="E35" s="14">
        <f>Assumptions!$D$36*'Revenue Build'!E$5</f>
        <v/>
      </c>
      <c r="F35" s="14">
        <f>Assumptions!$D$36*'Revenue Build'!F$5</f>
        <v/>
      </c>
      <c r="G35" s="14">
        <f>Assumptions!$D$36*'Revenue Build'!G$5</f>
        <v/>
      </c>
      <c r="H35" s="14">
        <f>Assumptions!$D$36*'Revenue Build'!H$5</f>
        <v/>
      </c>
      <c r="I35" s="14">
        <f>Assumptions!$D$36*'Revenue Build'!I$5</f>
        <v/>
      </c>
      <c r="J35" s="14">
        <f>Assumptions!$D$36*'Revenue Build'!J$5</f>
        <v/>
      </c>
      <c r="K35" s="14">
        <f>Assumptions!$D$36*'Revenue Build'!K$5</f>
        <v/>
      </c>
      <c r="L35" s="14">
        <f>Assumptions!$D$36*'Revenue Build'!L$5</f>
        <v/>
      </c>
      <c r="M35" s="14">
        <f>Assumptions!$D$36*'Revenue Build'!M$5</f>
        <v/>
      </c>
      <c r="N35" s="14">
        <f>Assumptions!$D$36*'Revenue Build'!N$5</f>
        <v/>
      </c>
      <c r="O35" s="14">
        <f>SUM(C35:N35)</f>
        <v/>
      </c>
    </row>
    <row r="36" ht="16" customHeight="1" s="130">
      <c r="A36" s="5" t="n"/>
      <c r="B36" s="13" t="inlineStr">
        <is>
          <t>Revenue (AED)</t>
        </is>
      </c>
      <c r="C36" s="14">
        <f>C35*Assumptions!$B$43</f>
        <v/>
      </c>
      <c r="D36" s="14">
        <f>D35*Assumptions!$B$43</f>
        <v/>
      </c>
      <c r="E36" s="14">
        <f>E35*Assumptions!$B$43</f>
        <v/>
      </c>
      <c r="F36" s="14">
        <f>F35*Assumptions!$B$43</f>
        <v/>
      </c>
      <c r="G36" s="14">
        <f>G35*Assumptions!$B$43</f>
        <v/>
      </c>
      <c r="H36" s="14">
        <f>H35*Assumptions!$B$43</f>
        <v/>
      </c>
      <c r="I36" s="14">
        <f>I35*Assumptions!$B$43</f>
        <v/>
      </c>
      <c r="J36" s="14">
        <f>J35*Assumptions!$B$43</f>
        <v/>
      </c>
      <c r="K36" s="14">
        <f>K35*Assumptions!$B$43</f>
        <v/>
      </c>
      <c r="L36" s="14">
        <f>L35*Assumptions!$B$43</f>
        <v/>
      </c>
      <c r="M36" s="14">
        <f>M35*Assumptions!$B$43</f>
        <v/>
      </c>
      <c r="N36" s="14">
        <f>N35*Assumptions!$B$43</f>
        <v/>
      </c>
      <c r="O36" s="14">
        <f>SUM(C36:N36)</f>
        <v/>
      </c>
    </row>
    <row r="37" ht="16" customHeight="1" s="130">
      <c r="A37" s="15" t="inlineStr">
        <is>
          <t>Online — Total Revenue</t>
        </is>
      </c>
      <c r="B37" s="16" t="inlineStr">
        <is>
          <t>AED</t>
        </is>
      </c>
      <c r="C37" s="17">
        <f>C30+C32+C34+C36</f>
        <v/>
      </c>
      <c r="D37" s="17">
        <f>D30+D32+D34+D36</f>
        <v/>
      </c>
      <c r="E37" s="17">
        <f>E30+E32+E34+E36</f>
        <v/>
      </c>
      <c r="F37" s="17">
        <f>F30+F32+F34+F36</f>
        <v/>
      </c>
      <c r="G37" s="17">
        <f>G30+G32+G34+G36</f>
        <v/>
      </c>
      <c r="H37" s="17">
        <f>H30+H32+H34+H36</f>
        <v/>
      </c>
      <c r="I37" s="17">
        <f>I30+I32+I34+I36</f>
        <v/>
      </c>
      <c r="J37" s="17">
        <f>J30+J32+J34+J36</f>
        <v/>
      </c>
      <c r="K37" s="17">
        <f>K30+K32+K34+K36</f>
        <v/>
      </c>
      <c r="L37" s="17">
        <f>L30+L32+L34+L36</f>
        <v/>
      </c>
      <c r="M37" s="17">
        <f>M30+M32+M34+M36</f>
        <v/>
      </c>
      <c r="N37" s="17">
        <f>N30+N32+N34+N36</f>
        <v/>
      </c>
      <c r="O37" s="17">
        <f>O30+O32+O34+O36</f>
        <v/>
      </c>
    </row>
    <row r="39" ht="18" customHeight="1" s="130">
      <c r="A39" s="18" t="inlineStr">
        <is>
          <t>TOTAL REVENUE — ALL OUTLETS</t>
        </is>
      </c>
      <c r="B39" s="19" t="inlineStr">
        <is>
          <t>AED</t>
        </is>
      </c>
      <c r="C39" s="20">
        <f>C15+C26+C37</f>
        <v/>
      </c>
      <c r="D39" s="20">
        <f>D15+D26+D37</f>
        <v/>
      </c>
      <c r="E39" s="20">
        <f>E15+E26+E37</f>
        <v/>
      </c>
      <c r="F39" s="20">
        <f>F15+F26+F37</f>
        <v/>
      </c>
      <c r="G39" s="20">
        <f>G15+G26+G37</f>
        <v/>
      </c>
      <c r="H39" s="20">
        <f>H15+H26+H37</f>
        <v/>
      </c>
      <c r="I39" s="20">
        <f>I15+I26+I37</f>
        <v/>
      </c>
      <c r="J39" s="20">
        <f>J15+J26+J37</f>
        <v/>
      </c>
      <c r="K39" s="20">
        <f>K15+K26+K37</f>
        <v/>
      </c>
      <c r="L39" s="20">
        <f>L15+L26+L37</f>
        <v/>
      </c>
      <c r="M39" s="20">
        <f>M15+M26+M37</f>
        <v/>
      </c>
      <c r="N39" s="20">
        <f>N15+N26+N37</f>
        <v/>
      </c>
      <c r="O39" s="20">
        <f>O15+O26+O37</f>
        <v/>
      </c>
    </row>
  </sheetData>
  <mergeCells count="5">
    <mergeCell ref="A2:O2"/>
    <mergeCell ref="A28:O28"/>
    <mergeCell ref="A1:O1"/>
    <mergeCell ref="A6:O6"/>
    <mergeCell ref="A17:O17"/>
  </mergeCells>
  <pageMargins left="0.75" right="0.75" top="1" bottom="1" header="0.5" footer="0.5"/>
</worksheet>
</file>

<file path=xl/worksheets/sheet3.xml><?xml version="1.0" encoding="utf-8"?>
<worksheet xmlns="http://schemas.openxmlformats.org/spreadsheetml/2006/main">
  <sheetPr>
    <tabColor rgb="FFFFC000"/>
    <outlinePr summaryBelow="1" summaryRight="1"/>
    <pageSetUpPr/>
  </sheetPr>
  <dimension ref="A1:O26"/>
  <sheetViews>
    <sheetView workbookViewId="0">
      <pane xSplit="2" ySplit="4" topLeftCell="C5" activePane="bottomRight" state="frozen"/>
      <selection pane="topRight" activeCell="A1" sqref="A1"/>
      <selection pane="bottomLeft" activeCell="A1" sqref="A1"/>
      <selection pane="bottomRight" activeCell="L20" sqref="L20"/>
    </sheetView>
  </sheetViews>
  <sheetFormatPr baseColWidth="10" defaultColWidth="8.83203125" defaultRowHeight="15"/>
  <cols>
    <col width="24" customWidth="1" style="130" min="1" max="1"/>
    <col width="10" customWidth="1" style="130" min="2" max="2"/>
    <col width="12" customWidth="1" style="130" min="3" max="15"/>
  </cols>
  <sheetData>
    <row r="1" ht="24" customHeight="1" s="130">
      <c r="A1" s="144" t="inlineStr">
        <is>
          <t>ZARA &amp; CO. — COGS BUILD FY2025</t>
        </is>
      </c>
    </row>
    <row r="2" ht="14" customHeight="1" s="130">
      <c r="A2" s="143" t="inlineStr">
        <is>
          <t>Formulas only — COGS% pulled from Assumptions, amounts = Revenue × COGS%.</t>
        </is>
      </c>
    </row>
    <row r="3" ht="8" customHeight="1" s="130"/>
    <row r="4" ht="16" customHeight="1" s="130">
      <c r="A4" s="23" t="inlineStr">
        <is>
          <t>Outlet / Category</t>
        </is>
      </c>
      <c r="B4" s="24" t="inlineStr">
        <is>
          <t>COGS %</t>
        </is>
      </c>
      <c r="C4" s="24" t="inlineStr">
        <is>
          <t>Jan</t>
        </is>
      </c>
      <c r="D4" s="24" t="inlineStr">
        <is>
          <t>Feb</t>
        </is>
      </c>
      <c r="E4" s="24" t="inlineStr">
        <is>
          <t>Mar</t>
        </is>
      </c>
      <c r="F4" s="24" t="inlineStr">
        <is>
          <t>Apr</t>
        </is>
      </c>
      <c r="G4" s="24" t="inlineStr">
        <is>
          <t>May</t>
        </is>
      </c>
      <c r="H4" s="24" t="inlineStr">
        <is>
          <t>Jun</t>
        </is>
      </c>
      <c r="I4" s="24" t="inlineStr">
        <is>
          <t>Jul</t>
        </is>
      </c>
      <c r="J4" s="24" t="inlineStr">
        <is>
          <t>Aug</t>
        </is>
      </c>
      <c r="K4" s="24" t="inlineStr">
        <is>
          <t>Sep</t>
        </is>
      </c>
      <c r="L4" s="24" t="inlineStr">
        <is>
          <t>Oct</t>
        </is>
      </c>
      <c r="M4" s="24" t="inlineStr">
        <is>
          <t>Nov</t>
        </is>
      </c>
      <c r="N4" s="24" t="inlineStr">
        <is>
          <t>Dec</t>
        </is>
      </c>
      <c r="O4" s="24" t="inlineStr">
        <is>
          <t>TOTAL</t>
        </is>
      </c>
    </row>
    <row r="5" ht="16" customHeight="1" s="130">
      <c r="A5" s="142" t="inlineStr">
        <is>
          <t>Dubai Mall</t>
        </is>
      </c>
    </row>
    <row r="6" ht="16" customHeight="1" s="130">
      <c r="A6" s="25" t="inlineStr">
        <is>
          <t>Women's Wear</t>
        </is>
      </c>
      <c r="B6" s="26">
        <f>Assumptions!$B$47</f>
        <v/>
      </c>
      <c r="C6" s="27">
        <f>'Revenue Build'!C8*$B6</f>
        <v/>
      </c>
      <c r="D6" s="27">
        <f>'Revenue Build'!D8*$B6</f>
        <v/>
      </c>
      <c r="E6" s="27">
        <f>'Revenue Build'!E8*$B6</f>
        <v/>
      </c>
      <c r="F6" s="27">
        <f>'Revenue Build'!F8*$B6</f>
        <v/>
      </c>
      <c r="G6" s="27">
        <f>'Revenue Build'!G8*$B6</f>
        <v/>
      </c>
      <c r="H6" s="27">
        <f>'Revenue Build'!H8*$B6</f>
        <v/>
      </c>
      <c r="I6" s="27">
        <f>'Revenue Build'!I8*$B6</f>
        <v/>
      </c>
      <c r="J6" s="27">
        <f>'Revenue Build'!J8*$B6</f>
        <v/>
      </c>
      <c r="K6" s="27">
        <f>'Revenue Build'!K8*$B6</f>
        <v/>
      </c>
      <c r="L6" s="27">
        <f>'Revenue Build'!L8*$B6</f>
        <v/>
      </c>
      <c r="M6" s="27">
        <f>'Revenue Build'!M8*$B6</f>
        <v/>
      </c>
      <c r="N6" s="27">
        <f>'Revenue Build'!N8*$B6</f>
        <v/>
      </c>
      <c r="O6" s="28">
        <f>SUM(C6:N6)</f>
        <v/>
      </c>
    </row>
    <row r="7" ht="16" customHeight="1" s="130">
      <c r="A7" s="25" t="inlineStr">
        <is>
          <t>Men's Wear</t>
        </is>
      </c>
      <c r="B7" s="26">
        <f>Assumptions!$B$48</f>
        <v/>
      </c>
      <c r="C7" s="27">
        <f>'Revenue Build'!C10*$B7</f>
        <v/>
      </c>
      <c r="D7" s="27">
        <f>'Revenue Build'!D10*$B7</f>
        <v/>
      </c>
      <c r="E7" s="27">
        <f>'Revenue Build'!E10*$B7</f>
        <v/>
      </c>
      <c r="F7" s="27">
        <f>'Revenue Build'!F10*$B7</f>
        <v/>
      </c>
      <c r="G7" s="27">
        <f>'Revenue Build'!G10*$B7</f>
        <v/>
      </c>
      <c r="H7" s="27">
        <f>'Revenue Build'!H10*$B7</f>
        <v/>
      </c>
      <c r="I7" s="27">
        <f>'Revenue Build'!I10*$B7</f>
        <v/>
      </c>
      <c r="J7" s="27">
        <f>'Revenue Build'!J10*$B7</f>
        <v/>
      </c>
      <c r="K7" s="27">
        <f>'Revenue Build'!K10*$B7</f>
        <v/>
      </c>
      <c r="L7" s="27">
        <f>'Revenue Build'!L10*$B7</f>
        <v/>
      </c>
      <c r="M7" s="27">
        <f>'Revenue Build'!M10*$B7</f>
        <v/>
      </c>
      <c r="N7" s="27">
        <f>'Revenue Build'!N10*$B7</f>
        <v/>
      </c>
      <c r="O7" s="28">
        <f>SUM(C7:N7)</f>
        <v/>
      </c>
    </row>
    <row r="8" ht="16" customHeight="1" s="130">
      <c r="A8" s="25" t="inlineStr">
        <is>
          <t>Kids' Wear</t>
        </is>
      </c>
      <c r="B8" s="26">
        <f>Assumptions!$B$49</f>
        <v/>
      </c>
      <c r="C8" s="27">
        <f>'Revenue Build'!C12*$B8</f>
        <v/>
      </c>
      <c r="D8" s="27">
        <f>'Revenue Build'!D12*$B8</f>
        <v/>
      </c>
      <c r="E8" s="27">
        <f>'Revenue Build'!E12*$B8</f>
        <v/>
      </c>
      <c r="F8" s="27">
        <f>'Revenue Build'!F12*$B8</f>
        <v/>
      </c>
      <c r="G8" s="27">
        <f>'Revenue Build'!G12*$B8</f>
        <v/>
      </c>
      <c r="H8" s="27">
        <f>'Revenue Build'!H12*$B8</f>
        <v/>
      </c>
      <c r="I8" s="27">
        <f>'Revenue Build'!I12*$B8</f>
        <v/>
      </c>
      <c r="J8" s="27">
        <f>'Revenue Build'!J12*$B8</f>
        <v/>
      </c>
      <c r="K8" s="27">
        <f>'Revenue Build'!K12*$B8</f>
        <v/>
      </c>
      <c r="L8" s="27">
        <f>'Revenue Build'!L12*$B8</f>
        <v/>
      </c>
      <c r="M8" s="27">
        <f>'Revenue Build'!M12*$B8</f>
        <v/>
      </c>
      <c r="N8" s="27">
        <f>'Revenue Build'!N12*$B8</f>
        <v/>
      </c>
      <c r="O8" s="28">
        <f>SUM(C8:N8)</f>
        <v/>
      </c>
    </row>
    <row r="9" ht="16" customHeight="1" s="130">
      <c r="A9" s="25" t="inlineStr">
        <is>
          <t>Accessories</t>
        </is>
      </c>
      <c r="B9" s="26">
        <f>Assumptions!$B$50</f>
        <v/>
      </c>
      <c r="C9" s="27">
        <f>'Revenue Build'!C14*$B9</f>
        <v/>
      </c>
      <c r="D9" s="27">
        <f>'Revenue Build'!D14*$B9</f>
        <v/>
      </c>
      <c r="E9" s="27">
        <f>'Revenue Build'!E14*$B9</f>
        <v/>
      </c>
      <c r="F9" s="27">
        <f>'Revenue Build'!F14*$B9</f>
        <v/>
      </c>
      <c r="G9" s="27">
        <f>'Revenue Build'!G14*$B9</f>
        <v/>
      </c>
      <c r="H9" s="27">
        <f>'Revenue Build'!H14*$B9</f>
        <v/>
      </c>
      <c r="I9" s="27">
        <f>'Revenue Build'!I14*$B9</f>
        <v/>
      </c>
      <c r="J9" s="27">
        <f>'Revenue Build'!J14*$B9</f>
        <v/>
      </c>
      <c r="K9" s="27">
        <f>'Revenue Build'!K14*$B9</f>
        <v/>
      </c>
      <c r="L9" s="27">
        <f>'Revenue Build'!L14*$B9</f>
        <v/>
      </c>
      <c r="M9" s="27">
        <f>'Revenue Build'!M14*$B9</f>
        <v/>
      </c>
      <c r="N9" s="27">
        <f>'Revenue Build'!N14*$B9</f>
        <v/>
      </c>
      <c r="O9" s="28">
        <f>SUM(C9:N9)</f>
        <v/>
      </c>
    </row>
    <row r="10" ht="16" customHeight="1" s="130">
      <c r="A10" s="29" t="inlineStr">
        <is>
          <t>Dubai Mall — Total COGS</t>
        </is>
      </c>
      <c r="B10" s="35" t="n"/>
      <c r="C10" s="31">
        <f>SUM(C6:C9)</f>
        <v/>
      </c>
      <c r="D10" s="31">
        <f>SUM(D6:D9)</f>
        <v/>
      </c>
      <c r="E10" s="31">
        <f>SUM(E6:E9)</f>
        <v/>
      </c>
      <c r="F10" s="31">
        <f>SUM(F6:F9)</f>
        <v/>
      </c>
      <c r="G10" s="31">
        <f>SUM(G6:G9)</f>
        <v/>
      </c>
      <c r="H10" s="31">
        <f>SUM(H6:H9)</f>
        <v/>
      </c>
      <c r="I10" s="31">
        <f>SUM(I6:I9)</f>
        <v/>
      </c>
      <c r="J10" s="31">
        <f>SUM(J6:J9)</f>
        <v/>
      </c>
      <c r="K10" s="31">
        <f>SUM(K6:K9)</f>
        <v/>
      </c>
      <c r="L10" s="31">
        <f>SUM(L6:L9)</f>
        <v/>
      </c>
      <c r="M10" s="31">
        <f>SUM(M6:M9)</f>
        <v/>
      </c>
      <c r="N10" s="31">
        <f>SUM(N6:N9)</f>
        <v/>
      </c>
      <c r="O10" s="31">
        <f>SUM(O6:O9)</f>
        <v/>
      </c>
    </row>
    <row r="11" ht="8" customHeight="1" s="130"/>
    <row r="12" ht="16" customHeight="1" s="130">
      <c r="A12" s="142" t="inlineStr">
        <is>
          <t>Marina Mall</t>
        </is>
      </c>
    </row>
    <row r="13" ht="16" customHeight="1" s="130">
      <c r="A13" s="25" t="inlineStr">
        <is>
          <t>Women's Wear</t>
        </is>
      </c>
      <c r="B13" s="26">
        <f>Assumptions!$B$47</f>
        <v/>
      </c>
      <c r="C13" s="27">
        <f>'Revenue Build'!C19*$B13</f>
        <v/>
      </c>
      <c r="D13" s="27">
        <f>'Revenue Build'!D19*$B13</f>
        <v/>
      </c>
      <c r="E13" s="27">
        <f>'Revenue Build'!E19*$B13</f>
        <v/>
      </c>
      <c r="F13" s="27">
        <f>'Revenue Build'!F19*$B13</f>
        <v/>
      </c>
      <c r="G13" s="27">
        <f>'Revenue Build'!G19*$B13</f>
        <v/>
      </c>
      <c r="H13" s="27">
        <f>'Revenue Build'!H19*$B13</f>
        <v/>
      </c>
      <c r="I13" s="27">
        <f>'Revenue Build'!I19*$B13</f>
        <v/>
      </c>
      <c r="J13" s="27">
        <f>'Revenue Build'!J19*$B13</f>
        <v/>
      </c>
      <c r="K13" s="27">
        <f>'Revenue Build'!K19*$B13</f>
        <v/>
      </c>
      <c r="L13" s="27">
        <f>'Revenue Build'!L19*$B13</f>
        <v/>
      </c>
      <c r="M13" s="27">
        <f>'Revenue Build'!M19*$B13</f>
        <v/>
      </c>
      <c r="N13" s="27">
        <f>'Revenue Build'!N19*$B13</f>
        <v/>
      </c>
      <c r="O13" s="28">
        <f>SUM(C13:N13)</f>
        <v/>
      </c>
    </row>
    <row r="14" ht="16" customHeight="1" s="130">
      <c r="A14" s="25" t="inlineStr">
        <is>
          <t>Men's Wear</t>
        </is>
      </c>
      <c r="B14" s="26">
        <f>Assumptions!$B$48</f>
        <v/>
      </c>
      <c r="C14" s="27">
        <f>'Revenue Build'!C21*$B14</f>
        <v/>
      </c>
      <c r="D14" s="27">
        <f>'Revenue Build'!D21*$B14</f>
        <v/>
      </c>
      <c r="E14" s="27">
        <f>'Revenue Build'!E21*$B14</f>
        <v/>
      </c>
      <c r="F14" s="27">
        <f>'Revenue Build'!F21*$B14</f>
        <v/>
      </c>
      <c r="G14" s="27">
        <f>'Revenue Build'!G21*$B14</f>
        <v/>
      </c>
      <c r="H14" s="27">
        <f>'Revenue Build'!H21*$B14</f>
        <v/>
      </c>
      <c r="I14" s="27">
        <f>'Revenue Build'!I21*$B14</f>
        <v/>
      </c>
      <c r="J14" s="27">
        <f>'Revenue Build'!J21*$B14</f>
        <v/>
      </c>
      <c r="K14" s="27">
        <f>'Revenue Build'!K21*$B14</f>
        <v/>
      </c>
      <c r="L14" s="27">
        <f>'Revenue Build'!L21*$B14</f>
        <v/>
      </c>
      <c r="M14" s="27">
        <f>'Revenue Build'!M21*$B14</f>
        <v/>
      </c>
      <c r="N14" s="27">
        <f>'Revenue Build'!N21*$B14</f>
        <v/>
      </c>
      <c r="O14" s="28">
        <f>SUM(C14:N14)</f>
        <v/>
      </c>
    </row>
    <row r="15" ht="16" customHeight="1" s="130">
      <c r="A15" s="25" t="inlineStr">
        <is>
          <t>Kids' Wear</t>
        </is>
      </c>
      <c r="B15" s="26">
        <f>Assumptions!$B$49</f>
        <v/>
      </c>
      <c r="C15" s="27">
        <f>'Revenue Build'!C23*$B15</f>
        <v/>
      </c>
      <c r="D15" s="27">
        <f>'Revenue Build'!D23*$B15</f>
        <v/>
      </c>
      <c r="E15" s="27">
        <f>'Revenue Build'!E23*$B15</f>
        <v/>
      </c>
      <c r="F15" s="27">
        <f>'Revenue Build'!F23*$B15</f>
        <v/>
      </c>
      <c r="G15" s="27">
        <f>'Revenue Build'!G23*$B15</f>
        <v/>
      </c>
      <c r="H15" s="27">
        <f>'Revenue Build'!H23*$B15</f>
        <v/>
      </c>
      <c r="I15" s="27">
        <f>'Revenue Build'!I23*$B15</f>
        <v/>
      </c>
      <c r="J15" s="27">
        <f>'Revenue Build'!J23*$B15</f>
        <v/>
      </c>
      <c r="K15" s="27">
        <f>'Revenue Build'!K23*$B15</f>
        <v/>
      </c>
      <c r="L15" s="27">
        <f>'Revenue Build'!L23*$B15</f>
        <v/>
      </c>
      <c r="M15" s="27">
        <f>'Revenue Build'!M23*$B15</f>
        <v/>
      </c>
      <c r="N15" s="27">
        <f>'Revenue Build'!N23*$B15</f>
        <v/>
      </c>
      <c r="O15" s="28">
        <f>SUM(C15:N15)</f>
        <v/>
      </c>
    </row>
    <row r="16" ht="16" customHeight="1" s="130">
      <c r="A16" s="25" t="inlineStr">
        <is>
          <t>Accessories</t>
        </is>
      </c>
      <c r="B16" s="26">
        <f>Assumptions!$B$50</f>
        <v/>
      </c>
      <c r="C16" s="27">
        <f>'Revenue Build'!C25*$B16</f>
        <v/>
      </c>
      <c r="D16" s="27">
        <f>'Revenue Build'!D25*$B16</f>
        <v/>
      </c>
      <c r="E16" s="27">
        <f>'Revenue Build'!E25*$B16</f>
        <v/>
      </c>
      <c r="F16" s="27">
        <f>'Revenue Build'!F25*$B16</f>
        <v/>
      </c>
      <c r="G16" s="27">
        <f>'Revenue Build'!G25*$B16</f>
        <v/>
      </c>
      <c r="H16" s="27">
        <f>'Revenue Build'!H25*$B16</f>
        <v/>
      </c>
      <c r="I16" s="27">
        <f>'Revenue Build'!I25*$B16</f>
        <v/>
      </c>
      <c r="J16" s="27">
        <f>'Revenue Build'!J25*$B16</f>
        <v/>
      </c>
      <c r="K16" s="27">
        <f>'Revenue Build'!K25*$B16</f>
        <v/>
      </c>
      <c r="L16" s="27">
        <f>'Revenue Build'!L25*$B16</f>
        <v/>
      </c>
      <c r="M16" s="27">
        <f>'Revenue Build'!M25*$B16</f>
        <v/>
      </c>
      <c r="N16" s="27">
        <f>'Revenue Build'!N25*$B16</f>
        <v/>
      </c>
      <c r="O16" s="28">
        <f>SUM(C16:N16)</f>
        <v/>
      </c>
    </row>
    <row r="17" ht="16" customHeight="1" s="130">
      <c r="A17" s="29" t="inlineStr">
        <is>
          <t>Marina Mall — Total COGS</t>
        </is>
      </c>
      <c r="B17" s="30" t="n"/>
      <c r="C17" s="31">
        <f>SUM(C13:C16)</f>
        <v/>
      </c>
      <c r="D17" s="31">
        <f>SUM(D13:D16)</f>
        <v/>
      </c>
      <c r="E17" s="31">
        <f>SUM(E13:E16)</f>
        <v/>
      </c>
      <c r="F17" s="31">
        <f>SUM(F13:F16)</f>
        <v/>
      </c>
      <c r="G17" s="31">
        <f>SUM(G13:G16)</f>
        <v/>
      </c>
      <c r="H17" s="31">
        <f>SUM(H13:H16)</f>
        <v/>
      </c>
      <c r="I17" s="31">
        <f>SUM(I13:I16)</f>
        <v/>
      </c>
      <c r="J17" s="31">
        <f>SUM(J13:J16)</f>
        <v/>
      </c>
      <c r="K17" s="31">
        <f>SUM(K13:K16)</f>
        <v/>
      </c>
      <c r="L17" s="31">
        <f>SUM(L13:L16)</f>
        <v/>
      </c>
      <c r="M17" s="31">
        <f>SUM(M13:M16)</f>
        <v/>
      </c>
      <c r="N17" s="31">
        <f>SUM(N13:N16)</f>
        <v/>
      </c>
      <c r="O17" s="31">
        <f>SUM(O13:O16)</f>
        <v/>
      </c>
    </row>
    <row r="18" ht="8" customHeight="1" s="130"/>
    <row r="19" ht="16" customHeight="1" s="130">
      <c r="A19" s="142" t="inlineStr">
        <is>
          <t>Online</t>
        </is>
      </c>
    </row>
    <row r="20" ht="16" customHeight="1" s="130">
      <c r="A20" s="25" t="inlineStr">
        <is>
          <t>Women's Wear</t>
        </is>
      </c>
      <c r="B20" s="26">
        <f>Assumptions!$B$47</f>
        <v/>
      </c>
      <c r="C20" s="27">
        <f>'Revenue Build'!C30*$B20</f>
        <v/>
      </c>
      <c r="D20" s="27">
        <f>'Revenue Build'!D30*$B20</f>
        <v/>
      </c>
      <c r="E20" s="27">
        <f>'Revenue Build'!E30*$B20</f>
        <v/>
      </c>
      <c r="F20" s="27">
        <f>'Revenue Build'!F30*$B20</f>
        <v/>
      </c>
      <c r="G20" s="27">
        <f>'Revenue Build'!G30*$B20</f>
        <v/>
      </c>
      <c r="H20" s="27">
        <f>'Revenue Build'!H30*$B20</f>
        <v/>
      </c>
      <c r="I20" s="27">
        <f>'Revenue Build'!I30*$B20</f>
        <v/>
      </c>
      <c r="J20" s="27">
        <f>'Revenue Build'!J30*$B20</f>
        <v/>
      </c>
      <c r="K20" s="27">
        <f>'Revenue Build'!K30*$B20</f>
        <v/>
      </c>
      <c r="L20" s="27">
        <f>'Revenue Build'!L30*$B20</f>
        <v/>
      </c>
      <c r="M20" s="27">
        <f>'Revenue Build'!M30*$B20</f>
        <v/>
      </c>
      <c r="N20" s="27">
        <f>'Revenue Build'!N30*$B20</f>
        <v/>
      </c>
      <c r="O20" s="28">
        <f>SUM(C20:N20)</f>
        <v/>
      </c>
    </row>
    <row r="21" ht="16" customHeight="1" s="130">
      <c r="A21" s="25" t="inlineStr">
        <is>
          <t>Men's Wear</t>
        </is>
      </c>
      <c r="B21" s="26">
        <f>Assumptions!$B$48</f>
        <v/>
      </c>
      <c r="C21" s="27">
        <f>'Revenue Build'!C32*$B21</f>
        <v/>
      </c>
      <c r="D21" s="27">
        <f>'Revenue Build'!D32*$B21</f>
        <v/>
      </c>
      <c r="E21" s="27">
        <f>'Revenue Build'!E32*$B21</f>
        <v/>
      </c>
      <c r="F21" s="27">
        <f>'Revenue Build'!F32*$B21</f>
        <v/>
      </c>
      <c r="G21" s="27">
        <f>'Revenue Build'!G32*$B21</f>
        <v/>
      </c>
      <c r="H21" s="27">
        <f>'Revenue Build'!H32*$B21</f>
        <v/>
      </c>
      <c r="I21" s="27">
        <f>'Revenue Build'!I32*$B21</f>
        <v/>
      </c>
      <c r="J21" s="27">
        <f>'Revenue Build'!J32*$B21</f>
        <v/>
      </c>
      <c r="K21" s="27">
        <f>'Revenue Build'!K32*$B21</f>
        <v/>
      </c>
      <c r="L21" s="27">
        <f>'Revenue Build'!L32*$B21</f>
        <v/>
      </c>
      <c r="M21" s="27">
        <f>'Revenue Build'!M32*$B21</f>
        <v/>
      </c>
      <c r="N21" s="27">
        <f>'Revenue Build'!N32*$B21</f>
        <v/>
      </c>
      <c r="O21" s="28">
        <f>SUM(C21:N21)</f>
        <v/>
      </c>
    </row>
    <row r="22" ht="16" customHeight="1" s="130">
      <c r="A22" s="25" t="inlineStr">
        <is>
          <t>Kids' Wear</t>
        </is>
      </c>
      <c r="B22" s="26">
        <f>Assumptions!$B$49</f>
        <v/>
      </c>
      <c r="C22" s="27">
        <f>'Revenue Build'!C34*$B22</f>
        <v/>
      </c>
      <c r="D22" s="27">
        <f>'Revenue Build'!D34*$B22</f>
        <v/>
      </c>
      <c r="E22" s="27">
        <f>'Revenue Build'!E34*$B22</f>
        <v/>
      </c>
      <c r="F22" s="27">
        <f>'Revenue Build'!F34*$B22</f>
        <v/>
      </c>
      <c r="G22" s="27">
        <f>'Revenue Build'!G34*$B22</f>
        <v/>
      </c>
      <c r="H22" s="27">
        <f>'Revenue Build'!H34*$B22</f>
        <v/>
      </c>
      <c r="I22" s="27">
        <f>'Revenue Build'!I34*$B22</f>
        <v/>
      </c>
      <c r="J22" s="27">
        <f>'Revenue Build'!J34*$B22</f>
        <v/>
      </c>
      <c r="K22" s="27">
        <f>'Revenue Build'!K34*$B22</f>
        <v/>
      </c>
      <c r="L22" s="27">
        <f>'Revenue Build'!L34*$B22</f>
        <v/>
      </c>
      <c r="M22" s="27">
        <f>'Revenue Build'!M34*$B22</f>
        <v/>
      </c>
      <c r="N22" s="27">
        <f>'Revenue Build'!N34*$B22</f>
        <v/>
      </c>
      <c r="O22" s="28">
        <f>SUM(C22:N22)</f>
        <v/>
      </c>
    </row>
    <row r="23" ht="16" customHeight="1" s="130">
      <c r="A23" s="25" t="inlineStr">
        <is>
          <t>Accessories</t>
        </is>
      </c>
      <c r="B23" s="26">
        <f>Assumptions!$B$50</f>
        <v/>
      </c>
      <c r="C23" s="27">
        <f>'Revenue Build'!C36*$B23</f>
        <v/>
      </c>
      <c r="D23" s="27">
        <f>'Revenue Build'!D36*$B23</f>
        <v/>
      </c>
      <c r="E23" s="27">
        <f>'Revenue Build'!E36*$B23</f>
        <v/>
      </c>
      <c r="F23" s="27">
        <f>'Revenue Build'!F36*$B23</f>
        <v/>
      </c>
      <c r="G23" s="27">
        <f>'Revenue Build'!G36*$B23</f>
        <v/>
      </c>
      <c r="H23" s="27">
        <f>'Revenue Build'!H36*$B23</f>
        <v/>
      </c>
      <c r="I23" s="27">
        <f>'Revenue Build'!I36*$B23</f>
        <v/>
      </c>
      <c r="J23" s="27">
        <f>'Revenue Build'!J36*$B23</f>
        <v/>
      </c>
      <c r="K23" s="27">
        <f>'Revenue Build'!K36*$B23</f>
        <v/>
      </c>
      <c r="L23" s="27">
        <f>'Revenue Build'!L36*$B23</f>
        <v/>
      </c>
      <c r="M23" s="27">
        <f>'Revenue Build'!M36*$B23</f>
        <v/>
      </c>
      <c r="N23" s="27">
        <f>'Revenue Build'!N36*$B23</f>
        <v/>
      </c>
      <c r="O23" s="28">
        <f>SUM(C23:N23)</f>
        <v/>
      </c>
    </row>
    <row r="24" ht="16" customHeight="1" s="130">
      <c r="A24" s="29" t="inlineStr">
        <is>
          <t>Online — Total COGS</t>
        </is>
      </c>
      <c r="B24" s="30" t="n"/>
      <c r="C24" s="31">
        <f>SUM(C20:C23)</f>
        <v/>
      </c>
      <c r="D24" s="31">
        <f>SUM(D20:D23)</f>
        <v/>
      </c>
      <c r="E24" s="31">
        <f>SUM(E20:E23)</f>
        <v/>
      </c>
      <c r="F24" s="31">
        <f>SUM(F20:F23)</f>
        <v/>
      </c>
      <c r="G24" s="31">
        <f>SUM(G20:G23)</f>
        <v/>
      </c>
      <c r="H24" s="31">
        <f>SUM(H20:H23)</f>
        <v/>
      </c>
      <c r="I24" s="31">
        <f>SUM(I20:I23)</f>
        <v/>
      </c>
      <c r="J24" s="31">
        <f>SUM(J20:J23)</f>
        <v/>
      </c>
      <c r="K24" s="31">
        <f>SUM(K20:K23)</f>
        <v/>
      </c>
      <c r="L24" s="31">
        <f>SUM(L20:L23)</f>
        <v/>
      </c>
      <c r="M24" s="31">
        <f>SUM(M20:M23)</f>
        <v/>
      </c>
      <c r="N24" s="31">
        <f>SUM(N20:N23)</f>
        <v/>
      </c>
      <c r="O24" s="31">
        <f>SUM(O20:O23)</f>
        <v/>
      </c>
    </row>
    <row r="25" ht="8" customHeight="1" s="130"/>
    <row r="26" ht="18" customHeight="1" s="130">
      <c r="A26" s="32" t="inlineStr">
        <is>
          <t>TOTAL COGS — ALL OUTLETS</t>
        </is>
      </c>
      <c r="B26" s="33" t="n"/>
      <c r="C26" s="34">
        <f>C10+C17+C24</f>
        <v/>
      </c>
      <c r="D26" s="34">
        <f>D10+D17+D24</f>
        <v/>
      </c>
      <c r="E26" s="34">
        <f>E10+E17+E24</f>
        <v/>
      </c>
      <c r="F26" s="34">
        <f>F10+F17+F24</f>
        <v/>
      </c>
      <c r="G26" s="34">
        <f>G10+G17+G24</f>
        <v/>
      </c>
      <c r="H26" s="34">
        <f>H10+H17+H24</f>
        <v/>
      </c>
      <c r="I26" s="34">
        <f>I10+I17+I24</f>
        <v/>
      </c>
      <c r="J26" s="34">
        <f>J10+J17+J24</f>
        <v/>
      </c>
      <c r="K26" s="34">
        <f>K10+K17+K24</f>
        <v/>
      </c>
      <c r="L26" s="34">
        <f>L10+L17+L24</f>
        <v/>
      </c>
      <c r="M26" s="34">
        <f>M10+M17+M24</f>
        <v/>
      </c>
      <c r="N26" s="34">
        <f>N10+N17+N24</f>
        <v/>
      </c>
      <c r="O26" s="34">
        <f>O10+O17+O24</f>
        <v/>
      </c>
    </row>
  </sheetData>
  <mergeCells count="5">
    <mergeCell ref="A12:O12"/>
    <mergeCell ref="A2:O2"/>
    <mergeCell ref="A19:O19"/>
    <mergeCell ref="A1:O1"/>
    <mergeCell ref="A5:O5"/>
  </mergeCells>
  <pageMargins left="0.75" right="0.75" top="1" bottom="1" header="0.5" footer="0.5"/>
</worksheet>
</file>

<file path=xl/worksheets/sheet4.xml><?xml version="1.0" encoding="utf-8"?>
<worksheet xmlns="http://schemas.openxmlformats.org/spreadsheetml/2006/main">
  <sheetPr>
    <tabColor rgb="FFED7D31"/>
    <outlinePr summaryBelow="1" summaryRight="1"/>
    <pageSetUpPr/>
  </sheetPr>
  <dimension ref="A1:O23"/>
  <sheetViews>
    <sheetView workbookViewId="0">
      <pane xSplit="2" ySplit="4" topLeftCell="C5" activePane="bottomRight" state="frozen"/>
      <selection pane="topRight" activeCell="A1" sqref="A1"/>
      <selection pane="bottomLeft" activeCell="A1" sqref="A1"/>
      <selection pane="bottomRight" activeCell="M23" sqref="M23"/>
    </sheetView>
  </sheetViews>
  <sheetFormatPr baseColWidth="10" defaultColWidth="8.83203125" defaultRowHeight="15"/>
  <cols>
    <col width="26" customWidth="1" style="130" min="1" max="1"/>
    <col width="4" customWidth="1" style="130" min="2" max="2"/>
    <col width="12" customWidth="1" style="130" min="3" max="15"/>
  </cols>
  <sheetData>
    <row r="1" ht="24" customHeight="1" s="130">
      <c r="A1" s="147" t="inlineStr">
        <is>
          <t>ZARA &amp; CO. — OPEX DETAIL FY2025</t>
        </is>
      </c>
    </row>
    <row r="2" ht="14" customHeight="1" s="130">
      <c r="A2" s="145" t="inlineStr">
        <is>
          <t>Formulas only — fixed costs from Assumptions, marketing linked to Revenue Build.</t>
        </is>
      </c>
    </row>
    <row r="3" ht="8" customHeight="1" s="130"/>
    <row r="4" ht="16" customHeight="1" s="130">
      <c r="A4" s="38" t="inlineStr">
        <is>
          <t>Item</t>
        </is>
      </c>
      <c r="C4" s="39" t="inlineStr">
        <is>
          <t>Jan</t>
        </is>
      </c>
      <c r="D4" s="39" t="inlineStr">
        <is>
          <t>Feb</t>
        </is>
      </c>
      <c r="E4" s="39" t="inlineStr">
        <is>
          <t>Mar</t>
        </is>
      </c>
      <c r="F4" s="39" t="inlineStr">
        <is>
          <t>Apr</t>
        </is>
      </c>
      <c r="G4" s="39" t="inlineStr">
        <is>
          <t>May</t>
        </is>
      </c>
      <c r="H4" s="39" t="inlineStr">
        <is>
          <t>Jun</t>
        </is>
      </c>
      <c r="I4" s="39" t="inlineStr">
        <is>
          <t>Jul</t>
        </is>
      </c>
      <c r="J4" s="39" t="inlineStr">
        <is>
          <t>Aug</t>
        </is>
      </c>
      <c r="K4" s="39" t="inlineStr">
        <is>
          <t>Sep</t>
        </is>
      </c>
      <c r="L4" s="39" t="inlineStr">
        <is>
          <t>Oct</t>
        </is>
      </c>
      <c r="M4" s="39" t="inlineStr">
        <is>
          <t>Nov</t>
        </is>
      </c>
      <c r="N4" s="39" t="inlineStr">
        <is>
          <t>Dec</t>
        </is>
      </c>
      <c r="O4" s="39" t="inlineStr">
        <is>
          <t>TOTAL</t>
        </is>
      </c>
    </row>
    <row r="5" ht="16" customHeight="1" s="130">
      <c r="A5" s="146" t="inlineStr">
        <is>
          <t>Dubai Mall</t>
        </is>
      </c>
    </row>
    <row r="6" ht="16" customHeight="1" s="130">
      <c r="A6" s="40" t="inlineStr">
        <is>
          <t>Rent</t>
        </is>
      </c>
      <c r="C6" s="41">
        <f>Assumptions!$B$54</f>
        <v/>
      </c>
      <c r="D6" s="41">
        <f>Assumptions!$B$54</f>
        <v/>
      </c>
      <c r="E6" s="41">
        <f>Assumptions!$B$54</f>
        <v/>
      </c>
      <c r="F6" s="41">
        <f>Assumptions!$B$54</f>
        <v/>
      </c>
      <c r="G6" s="41">
        <f>Assumptions!$B$54</f>
        <v/>
      </c>
      <c r="H6" s="41">
        <f>Assumptions!$B$54</f>
        <v/>
      </c>
      <c r="I6" s="41">
        <f>Assumptions!$B$54</f>
        <v/>
      </c>
      <c r="J6" s="41">
        <f>Assumptions!$B$54</f>
        <v/>
      </c>
      <c r="K6" s="41">
        <f>Assumptions!$B$54</f>
        <v/>
      </c>
      <c r="L6" s="41">
        <f>Assumptions!$B$54</f>
        <v/>
      </c>
      <c r="M6" s="41">
        <f>Assumptions!$B$54</f>
        <v/>
      </c>
      <c r="N6" s="41">
        <f>Assumptions!$B$54</f>
        <v/>
      </c>
      <c r="O6" s="42">
        <f>SUM(C6:N6)</f>
        <v/>
      </c>
    </row>
    <row r="7" ht="16" customHeight="1" s="130">
      <c r="A7" s="40" t="inlineStr">
        <is>
          <t>Payroll</t>
        </is>
      </c>
      <c r="C7" s="41">
        <f>Assumptions!$B$55</f>
        <v/>
      </c>
      <c r="D7" s="41">
        <f>Assumptions!$B$55</f>
        <v/>
      </c>
      <c r="E7" s="41">
        <f>Assumptions!$B$55</f>
        <v/>
      </c>
      <c r="F7" s="41">
        <f>Assumptions!$B$55</f>
        <v/>
      </c>
      <c r="G7" s="41">
        <f>Assumptions!$B$55</f>
        <v/>
      </c>
      <c r="H7" s="41">
        <f>Assumptions!$B$55</f>
        <v/>
      </c>
      <c r="I7" s="41">
        <f>Assumptions!$B$55</f>
        <v/>
      </c>
      <c r="J7" s="41">
        <f>Assumptions!$B$55</f>
        <v/>
      </c>
      <c r="K7" s="41">
        <f>Assumptions!$B$55</f>
        <v/>
      </c>
      <c r="L7" s="41">
        <f>Assumptions!$B$55</f>
        <v/>
      </c>
      <c r="M7" s="41">
        <f>Assumptions!$B$55</f>
        <v/>
      </c>
      <c r="N7" s="41">
        <f>Assumptions!$B$55</f>
        <v/>
      </c>
      <c r="O7" s="42">
        <f>SUM(C7:N7)</f>
        <v/>
      </c>
    </row>
    <row r="8" ht="16" customHeight="1" s="130">
      <c r="A8" s="40" t="inlineStr">
        <is>
          <t>Marketing</t>
        </is>
      </c>
      <c r="C8" s="41">
        <f>'Revenue Build'!C$15*Assumptions!$B$56</f>
        <v/>
      </c>
      <c r="D8" s="41">
        <f>'Revenue Build'!D$15*Assumptions!$B$56</f>
        <v/>
      </c>
      <c r="E8" s="41">
        <f>'Revenue Build'!E$15*Assumptions!$B$56</f>
        <v/>
      </c>
      <c r="F8" s="41">
        <f>'Revenue Build'!F$15*Assumptions!$B$56</f>
        <v/>
      </c>
      <c r="G8" s="41">
        <f>'Revenue Build'!G$15*Assumptions!$B$56</f>
        <v/>
      </c>
      <c r="H8" s="41">
        <f>'Revenue Build'!H$15*Assumptions!$B$56</f>
        <v/>
      </c>
      <c r="I8" s="41">
        <f>'Revenue Build'!I$15*Assumptions!$B$56</f>
        <v/>
      </c>
      <c r="J8" s="41">
        <f>'Revenue Build'!J$15*Assumptions!$B$56</f>
        <v/>
      </c>
      <c r="K8" s="41">
        <f>'Revenue Build'!K$15*Assumptions!$B$56</f>
        <v/>
      </c>
      <c r="L8" s="41">
        <f>'Revenue Build'!L$15*Assumptions!$B$56</f>
        <v/>
      </c>
      <c r="M8" s="41">
        <f>'Revenue Build'!M$15*Assumptions!$B$56</f>
        <v/>
      </c>
      <c r="N8" s="41">
        <f>'Revenue Build'!N$15*Assumptions!$B$56</f>
        <v/>
      </c>
      <c r="O8" s="42">
        <f>SUM(C8:N8)</f>
        <v/>
      </c>
    </row>
    <row r="9" ht="16" customHeight="1" s="130">
      <c r="A9" s="43" t="inlineStr">
        <is>
          <t>Dubai Mall — Total OpEx</t>
        </is>
      </c>
      <c r="C9" s="44">
        <f>SUM(C6:C8)</f>
        <v/>
      </c>
      <c r="D9" s="44">
        <f>SUM(D6:D8)</f>
        <v/>
      </c>
      <c r="E9" s="44">
        <f>SUM(E6:E8)</f>
        <v/>
      </c>
      <c r="F9" s="44">
        <f>SUM(F6:F8)</f>
        <v/>
      </c>
      <c r="G9" s="44">
        <f>SUM(G6:G8)</f>
        <v/>
      </c>
      <c r="H9" s="44">
        <f>SUM(H6:H8)</f>
        <v/>
      </c>
      <c r="I9" s="44">
        <f>SUM(I6:I8)</f>
        <v/>
      </c>
      <c r="J9" s="44">
        <f>SUM(J6:J8)</f>
        <v/>
      </c>
      <c r="K9" s="44">
        <f>SUM(K6:K8)</f>
        <v/>
      </c>
      <c r="L9" s="44">
        <f>SUM(L6:L8)</f>
        <v/>
      </c>
      <c r="M9" s="44">
        <f>SUM(M6:M8)</f>
        <v/>
      </c>
      <c r="N9" s="44">
        <f>SUM(N6:N8)</f>
        <v/>
      </c>
      <c r="O9" s="44">
        <f>SUM(O6:O8)</f>
        <v/>
      </c>
    </row>
    <row r="10" ht="8" customHeight="1" s="130"/>
    <row r="11" ht="16" customHeight="1" s="130">
      <c r="A11" s="146" t="inlineStr">
        <is>
          <t>Marina Mall</t>
        </is>
      </c>
    </row>
    <row r="12" ht="16" customHeight="1" s="130">
      <c r="A12" s="40" t="inlineStr">
        <is>
          <t>Rent</t>
        </is>
      </c>
      <c r="C12" s="41">
        <f>Assumptions!$C$54</f>
        <v/>
      </c>
      <c r="D12" s="41">
        <f>Assumptions!$C$54</f>
        <v/>
      </c>
      <c r="E12" s="41">
        <f>Assumptions!$C$54</f>
        <v/>
      </c>
      <c r="F12" s="41">
        <f>Assumptions!$C$54</f>
        <v/>
      </c>
      <c r="G12" s="41">
        <f>Assumptions!$C$54</f>
        <v/>
      </c>
      <c r="H12" s="41">
        <f>Assumptions!$C$54</f>
        <v/>
      </c>
      <c r="I12" s="41">
        <f>Assumptions!$C$54</f>
        <v/>
      </c>
      <c r="J12" s="41">
        <f>Assumptions!$C$54</f>
        <v/>
      </c>
      <c r="K12" s="41">
        <f>Assumptions!$C$54</f>
        <v/>
      </c>
      <c r="L12" s="41">
        <f>Assumptions!$C$54</f>
        <v/>
      </c>
      <c r="M12" s="41">
        <f>Assumptions!$C$54</f>
        <v/>
      </c>
      <c r="N12" s="41">
        <f>Assumptions!$C$54</f>
        <v/>
      </c>
      <c r="O12" s="42">
        <f>SUM(C12:N12)</f>
        <v/>
      </c>
    </row>
    <row r="13" ht="16" customHeight="1" s="130">
      <c r="A13" s="40" t="inlineStr">
        <is>
          <t>Payroll</t>
        </is>
      </c>
      <c r="C13" s="41">
        <f>Assumptions!$C$55</f>
        <v/>
      </c>
      <c r="D13" s="41">
        <f>Assumptions!$C$55</f>
        <v/>
      </c>
      <c r="E13" s="41">
        <f>Assumptions!$C$55</f>
        <v/>
      </c>
      <c r="F13" s="41">
        <f>Assumptions!$C$55</f>
        <v/>
      </c>
      <c r="G13" s="41">
        <f>Assumptions!$C$55</f>
        <v/>
      </c>
      <c r="H13" s="41">
        <f>Assumptions!$C$55</f>
        <v/>
      </c>
      <c r="I13" s="41">
        <f>Assumptions!$C$55</f>
        <v/>
      </c>
      <c r="J13" s="41">
        <f>Assumptions!$C$55</f>
        <v/>
      </c>
      <c r="K13" s="41">
        <f>Assumptions!$C$55</f>
        <v/>
      </c>
      <c r="L13" s="41">
        <f>Assumptions!$C$55</f>
        <v/>
      </c>
      <c r="M13" s="41">
        <f>Assumptions!$C$55</f>
        <v/>
      </c>
      <c r="N13" s="41">
        <f>Assumptions!$C$55</f>
        <v/>
      </c>
      <c r="O13" s="42">
        <f>SUM(C13:N13)</f>
        <v/>
      </c>
    </row>
    <row r="14" ht="16" customHeight="1" s="130">
      <c r="A14" s="40" t="inlineStr">
        <is>
          <t>Marketing</t>
        </is>
      </c>
      <c r="C14" s="41">
        <f>'Revenue Build'!C$26*Assumptions!$C$56</f>
        <v/>
      </c>
      <c r="D14" s="41">
        <f>'Revenue Build'!D$26*Assumptions!$C$56</f>
        <v/>
      </c>
      <c r="E14" s="41">
        <f>'Revenue Build'!E$26*Assumptions!$C$56</f>
        <v/>
      </c>
      <c r="F14" s="41">
        <f>'Revenue Build'!F$26*Assumptions!$C$56</f>
        <v/>
      </c>
      <c r="G14" s="41">
        <f>'Revenue Build'!G$26*Assumptions!$C$56</f>
        <v/>
      </c>
      <c r="H14" s="41">
        <f>'Revenue Build'!H$26*Assumptions!$C$56</f>
        <v/>
      </c>
      <c r="I14" s="41">
        <f>'Revenue Build'!I$26*Assumptions!$C$56</f>
        <v/>
      </c>
      <c r="J14" s="41">
        <f>'Revenue Build'!J$26*Assumptions!$C$56</f>
        <v/>
      </c>
      <c r="K14" s="41">
        <f>'Revenue Build'!K$26*Assumptions!$C$56</f>
        <v/>
      </c>
      <c r="L14" s="41">
        <f>'Revenue Build'!L$26*Assumptions!$C$56</f>
        <v/>
      </c>
      <c r="M14" s="41">
        <f>'Revenue Build'!M$26*Assumptions!$C$56</f>
        <v/>
      </c>
      <c r="N14" s="41">
        <f>'Revenue Build'!N$26*Assumptions!$C$56</f>
        <v/>
      </c>
      <c r="O14" s="42">
        <f>SUM(C14:N14)</f>
        <v/>
      </c>
    </row>
    <row r="15" ht="16" customHeight="1" s="130">
      <c r="A15" s="43" t="inlineStr">
        <is>
          <t>Marina Mall — Total OpEx</t>
        </is>
      </c>
      <c r="C15" s="44">
        <f>SUM(C12:C14)</f>
        <v/>
      </c>
      <c r="D15" s="44">
        <f>SUM(D12:D14)</f>
        <v/>
      </c>
      <c r="E15" s="44">
        <f>SUM(E12:E14)</f>
        <v/>
      </c>
      <c r="F15" s="44">
        <f>SUM(F12:F14)</f>
        <v/>
      </c>
      <c r="G15" s="44">
        <f>SUM(G12:G14)</f>
        <v/>
      </c>
      <c r="H15" s="44">
        <f>SUM(H12:H14)</f>
        <v/>
      </c>
      <c r="I15" s="44">
        <f>SUM(I12:I14)</f>
        <v/>
      </c>
      <c r="J15" s="44">
        <f>SUM(J12:J14)</f>
        <v/>
      </c>
      <c r="K15" s="44">
        <f>SUM(K12:K14)</f>
        <v/>
      </c>
      <c r="L15" s="44">
        <f>SUM(L12:L14)</f>
        <v/>
      </c>
      <c r="M15" s="44">
        <f>SUM(M12:M14)</f>
        <v/>
      </c>
      <c r="N15" s="44">
        <f>SUM(N12:N14)</f>
        <v/>
      </c>
      <c r="O15" s="44">
        <f>SUM(O12:O14)</f>
        <v/>
      </c>
    </row>
    <row r="16" ht="8" customHeight="1" s="130"/>
    <row r="17" ht="16" customHeight="1" s="130">
      <c r="A17" s="146" t="inlineStr">
        <is>
          <t>Online</t>
        </is>
      </c>
    </row>
    <row r="18" ht="16" customHeight="1" s="130">
      <c r="A18" s="40" t="inlineStr">
        <is>
          <t>Rent</t>
        </is>
      </c>
      <c r="C18" s="41">
        <f>Assumptions!$D$54</f>
        <v/>
      </c>
      <c r="D18" s="41">
        <f>Assumptions!$D$54</f>
        <v/>
      </c>
      <c r="E18" s="41">
        <f>Assumptions!$D$54</f>
        <v/>
      </c>
      <c r="F18" s="41">
        <f>Assumptions!$D$54</f>
        <v/>
      </c>
      <c r="G18" s="41">
        <f>Assumptions!$D$54</f>
        <v/>
      </c>
      <c r="H18" s="41">
        <f>Assumptions!$D$54</f>
        <v/>
      </c>
      <c r="I18" s="41">
        <f>Assumptions!$D$54</f>
        <v/>
      </c>
      <c r="J18" s="41">
        <f>Assumptions!$D$54</f>
        <v/>
      </c>
      <c r="K18" s="41">
        <f>Assumptions!$D$54</f>
        <v/>
      </c>
      <c r="L18" s="41">
        <f>Assumptions!$D$54</f>
        <v/>
      </c>
      <c r="M18" s="41">
        <f>Assumptions!$D$54</f>
        <v/>
      </c>
      <c r="N18" s="41">
        <f>Assumptions!$D$54</f>
        <v/>
      </c>
      <c r="O18" s="42">
        <f>SUM(C18:N18)</f>
        <v/>
      </c>
    </row>
    <row r="19" ht="16" customHeight="1" s="130">
      <c r="A19" s="40" t="inlineStr">
        <is>
          <t>Payroll</t>
        </is>
      </c>
      <c r="C19" s="41">
        <f>Assumptions!$D$55</f>
        <v/>
      </c>
      <c r="D19" s="41">
        <f>Assumptions!$D$55</f>
        <v/>
      </c>
      <c r="E19" s="41">
        <f>Assumptions!$D$55</f>
        <v/>
      </c>
      <c r="F19" s="41">
        <f>Assumptions!$D$55</f>
        <v/>
      </c>
      <c r="G19" s="41">
        <f>Assumptions!$D$55</f>
        <v/>
      </c>
      <c r="H19" s="41">
        <f>Assumptions!$D$55</f>
        <v/>
      </c>
      <c r="I19" s="41">
        <f>Assumptions!$D$55</f>
        <v/>
      </c>
      <c r="J19" s="41">
        <f>Assumptions!$D$55</f>
        <v/>
      </c>
      <c r="K19" s="41">
        <f>Assumptions!$D$55</f>
        <v/>
      </c>
      <c r="L19" s="41">
        <f>Assumptions!$D$55</f>
        <v/>
      </c>
      <c r="M19" s="41">
        <f>Assumptions!$D$55</f>
        <v/>
      </c>
      <c r="N19" s="41">
        <f>Assumptions!$D$55</f>
        <v/>
      </c>
      <c r="O19" s="42">
        <f>SUM(C19:N19)</f>
        <v/>
      </c>
    </row>
    <row r="20" ht="16" customHeight="1" s="130">
      <c r="A20" s="40" t="inlineStr">
        <is>
          <t>Marketing</t>
        </is>
      </c>
      <c r="C20" s="41">
        <f>'Revenue Build'!C$37*Assumptions!$D$56</f>
        <v/>
      </c>
      <c r="D20" s="41">
        <f>'Revenue Build'!D$37*Assumptions!$D$56</f>
        <v/>
      </c>
      <c r="E20" s="41">
        <f>'Revenue Build'!E$37*Assumptions!$D$56</f>
        <v/>
      </c>
      <c r="F20" s="41">
        <f>'Revenue Build'!F$37*Assumptions!$D$56</f>
        <v/>
      </c>
      <c r="G20" s="41">
        <f>'Revenue Build'!G$37*Assumptions!$D$56</f>
        <v/>
      </c>
      <c r="H20" s="41">
        <f>'Revenue Build'!H$37*Assumptions!$D$56</f>
        <v/>
      </c>
      <c r="I20" s="41">
        <f>'Revenue Build'!I$37*Assumptions!$D$56</f>
        <v/>
      </c>
      <c r="J20" s="41">
        <f>'Revenue Build'!J$37*Assumptions!$D$56</f>
        <v/>
      </c>
      <c r="K20" s="41">
        <f>'Revenue Build'!K$37*Assumptions!$D$56</f>
        <v/>
      </c>
      <c r="L20" s="41">
        <f>'Revenue Build'!L$37*Assumptions!$D$56</f>
        <v/>
      </c>
      <c r="M20" s="41">
        <f>'Revenue Build'!M$37*Assumptions!$D$56</f>
        <v/>
      </c>
      <c r="N20" s="41">
        <f>'Revenue Build'!N$37*Assumptions!$D$56</f>
        <v/>
      </c>
      <c r="O20" s="42">
        <f>SUM(C20:N20)</f>
        <v/>
      </c>
    </row>
    <row r="21" ht="16" customHeight="1" s="130">
      <c r="A21" s="43" t="inlineStr">
        <is>
          <t>Online — Total OpEx</t>
        </is>
      </c>
      <c r="C21" s="44">
        <f>SUM(C18:C20)</f>
        <v/>
      </c>
      <c r="D21" s="44">
        <f>SUM(D18:D20)</f>
        <v/>
      </c>
      <c r="E21" s="44">
        <f>SUM(E18:E20)</f>
        <v/>
      </c>
      <c r="F21" s="44">
        <f>SUM(F18:F20)</f>
        <v/>
      </c>
      <c r="G21" s="44">
        <f>SUM(G18:G20)</f>
        <v/>
      </c>
      <c r="H21" s="44">
        <f>SUM(H18:H20)</f>
        <v/>
      </c>
      <c r="I21" s="44">
        <f>SUM(I18:I20)</f>
        <v/>
      </c>
      <c r="J21" s="44">
        <f>SUM(J18:J20)</f>
        <v/>
      </c>
      <c r="K21" s="44">
        <f>SUM(K18:K20)</f>
        <v/>
      </c>
      <c r="L21" s="44">
        <f>SUM(L18:L20)</f>
        <v/>
      </c>
      <c r="M21" s="44">
        <f>SUM(M18:M20)</f>
        <v/>
      </c>
      <c r="N21" s="44">
        <f>SUM(N18:N20)</f>
        <v/>
      </c>
      <c r="O21" s="44">
        <f>SUM(O18:O20)</f>
        <v/>
      </c>
    </row>
    <row r="22" ht="8" customHeight="1" s="130"/>
    <row r="23" ht="18" customHeight="1" s="130">
      <c r="A23" s="45" t="inlineStr">
        <is>
          <t>TOTAL OPEX — ALL OUTLETS</t>
        </is>
      </c>
      <c r="C23" s="46">
        <f>C9+C15+C21</f>
        <v/>
      </c>
      <c r="D23" s="46">
        <f>D9+D15+D21</f>
        <v/>
      </c>
      <c r="E23" s="46">
        <f>E9+E15+E21</f>
        <v/>
      </c>
      <c r="F23" s="46">
        <f>F9+F15+F21</f>
        <v/>
      </c>
      <c r="G23" s="46">
        <f>G9+G15+G21</f>
        <v/>
      </c>
      <c r="H23" s="46">
        <f>H9+H15+H21</f>
        <v/>
      </c>
      <c r="I23" s="46">
        <f>I9+I15+I21</f>
        <v/>
      </c>
      <c r="J23" s="46">
        <f>J9+J15+J21</f>
        <v/>
      </c>
      <c r="K23" s="46">
        <f>K9+K15+K21</f>
        <v/>
      </c>
      <c r="L23" s="46">
        <f>L9+L15+L21</f>
        <v/>
      </c>
      <c r="M23" s="46">
        <f>M9+M15+M21</f>
        <v/>
      </c>
      <c r="N23" s="46">
        <f>N9+N15+N21</f>
        <v/>
      </c>
      <c r="O23" s="46">
        <f>O9+O15+O21</f>
        <v/>
      </c>
    </row>
  </sheetData>
  <mergeCells count="5">
    <mergeCell ref="A2:O2"/>
    <mergeCell ref="A11:O11"/>
    <mergeCell ref="A1:O1"/>
    <mergeCell ref="A5:O5"/>
    <mergeCell ref="A17:O17"/>
  </mergeCells>
  <pageMargins left="0.75" right="0.75" top="1" bottom="1" header="0.5" footer="0.5"/>
</worksheet>
</file>

<file path=xl/worksheets/sheet5.xml><?xml version="1.0" encoding="utf-8"?>
<worksheet xmlns="http://schemas.openxmlformats.org/spreadsheetml/2006/main">
  <sheetPr>
    <tabColor rgb="FF203864"/>
    <outlinePr summaryBelow="1" summaryRight="1"/>
    <pageSetUpPr/>
  </sheetPr>
  <dimension ref="A1:R13"/>
  <sheetViews>
    <sheetView workbookViewId="0">
      <pane xSplit="2" ySplit="5" topLeftCell="C6" activePane="bottomRight" state="frozen"/>
      <selection pane="topRight" activeCell="A1" sqref="A1"/>
      <selection pane="bottomLeft" activeCell="A1" sqref="A1"/>
      <selection pane="bottomRight" activeCell="O6" sqref="O6"/>
    </sheetView>
  </sheetViews>
  <sheetFormatPr baseColWidth="10" defaultColWidth="8.83203125" defaultRowHeight="15"/>
  <cols>
    <col width="24" customWidth="1" style="130" min="1" max="1"/>
    <col width="16" customWidth="1" style="130" min="2" max="2"/>
    <col width="13" customWidth="1" style="130" min="3" max="18"/>
  </cols>
  <sheetData>
    <row r="1" ht="24" customHeight="1" s="130">
      <c r="A1" s="149" t="inlineStr">
        <is>
          <t>ZARA &amp; CO. — P&amp;L SUMMARY FY2025</t>
        </is>
      </c>
    </row>
    <row r="2" ht="14" customHeight="1" s="130">
      <c r="A2" s="148" t="inlineStr">
        <is>
          <t>Budget linked from Revenue Build / COGS Build / OpEx Detail. Actuals hardcoded.</t>
        </is>
      </c>
    </row>
    <row r="3" ht="14" customHeight="1" s="130">
      <c r="A3" s="47" t="inlineStr">
        <is>
          <t>Colour key:</t>
        </is>
      </c>
      <c r="B3" s="48" t="inlineStr">
        <is>
          <t xml:space="preserve">  FY2024 Prior Year  </t>
        </is>
      </c>
      <c r="C3" s="49" t="inlineStr">
        <is>
          <t xml:space="preserve">  Budget (formula)  </t>
        </is>
      </c>
      <c r="D3" s="50" t="inlineStr">
        <is>
          <t xml:space="preserve">  Actual (hardcoded)  </t>
        </is>
      </c>
    </row>
    <row r="4" ht="8" customHeight="1" s="130"/>
    <row r="5" ht="16" customHeight="1" s="130">
      <c r="A5" s="51" t="inlineStr">
        <is>
          <t>Line Item</t>
        </is>
      </c>
      <c r="B5" s="52" t="inlineStr">
        <is>
          <t>FY2024 Actual</t>
        </is>
      </c>
      <c r="C5" s="53" t="inlineStr">
        <is>
          <t>Jan Budget</t>
        </is>
      </c>
      <c r="D5" s="53" t="inlineStr">
        <is>
          <t>Feb Budget</t>
        </is>
      </c>
      <c r="E5" s="53" t="inlineStr">
        <is>
          <t>Mar Budget</t>
        </is>
      </c>
      <c r="F5" s="53" t="inlineStr">
        <is>
          <t>Apr Budget</t>
        </is>
      </c>
      <c r="G5" s="53" t="inlineStr">
        <is>
          <t>May Budget</t>
        </is>
      </c>
      <c r="H5" s="53" t="inlineStr">
        <is>
          <t>Jun Budget</t>
        </is>
      </c>
      <c r="I5" s="53" t="inlineStr">
        <is>
          <t>Jul Budget</t>
        </is>
      </c>
      <c r="J5" s="53" t="inlineStr">
        <is>
          <t>Aug Budget</t>
        </is>
      </c>
      <c r="K5" s="53" t="inlineStr">
        <is>
          <t>Sep Budget</t>
        </is>
      </c>
      <c r="L5" s="53" t="inlineStr">
        <is>
          <t>Oct Budget</t>
        </is>
      </c>
      <c r="M5" s="53" t="inlineStr">
        <is>
          <t>Nov Budget</t>
        </is>
      </c>
      <c r="N5" s="53" t="inlineStr">
        <is>
          <t>Dec Budget</t>
        </is>
      </c>
      <c r="O5" s="54" t="inlineStr">
        <is>
          <t>FY2025 Budget</t>
        </is>
      </c>
      <c r="P5" s="55" t="inlineStr">
        <is>
          <t>Jan Actual</t>
        </is>
      </c>
      <c r="Q5" s="55" t="inlineStr">
        <is>
          <t>Feb Actual</t>
        </is>
      </c>
      <c r="R5" s="55" t="inlineStr">
        <is>
          <t>Mar Actual</t>
        </is>
      </c>
    </row>
    <row r="6" ht="17" customHeight="1" s="130">
      <c r="A6" s="56" t="inlineStr">
        <is>
          <t>Revenue</t>
        </is>
      </c>
      <c r="B6" s="57" t="n">
        <v>19800000</v>
      </c>
      <c r="C6" s="58">
        <f>'Revenue Build'!C39</f>
        <v/>
      </c>
      <c r="D6" s="58">
        <f>'Revenue Build'!D39</f>
        <v/>
      </c>
      <c r="E6" s="58">
        <f>'Revenue Build'!E39</f>
        <v/>
      </c>
      <c r="F6" s="58">
        <f>'Revenue Build'!F39</f>
        <v/>
      </c>
      <c r="G6" s="58">
        <f>'Revenue Build'!G39</f>
        <v/>
      </c>
      <c r="H6" s="58">
        <f>'Revenue Build'!H39</f>
        <v/>
      </c>
      <c r="I6" s="58">
        <f>'Revenue Build'!I39</f>
        <v/>
      </c>
      <c r="J6" s="58">
        <f>'Revenue Build'!J39</f>
        <v/>
      </c>
      <c r="K6" s="58">
        <f>'Revenue Build'!K39</f>
        <v/>
      </c>
      <c r="L6" s="58">
        <f>'Revenue Build'!L39</f>
        <v/>
      </c>
      <c r="M6" s="58">
        <f>'Revenue Build'!M39</f>
        <v/>
      </c>
      <c r="N6" s="58">
        <f>'Revenue Build'!N39</f>
        <v/>
      </c>
      <c r="O6" s="59">
        <f>'Revenue Build'!O39</f>
        <v/>
      </c>
      <c r="P6" s="60" t="n">
        <v>1900000</v>
      </c>
      <c r="Q6" s="60" t="n">
        <v>1860000</v>
      </c>
      <c r="R6" s="60" t="n">
        <v>2280000</v>
      </c>
    </row>
    <row r="7" ht="17" customHeight="1" s="130">
      <c r="A7" s="61" t="inlineStr">
        <is>
          <t>Less: COGS</t>
        </is>
      </c>
      <c r="B7" s="62" t="n">
        <v>9200000</v>
      </c>
      <c r="C7" s="63">
        <f>'COGS Build'!C26</f>
        <v/>
      </c>
      <c r="D7" s="63">
        <f>'COGS Build'!D26</f>
        <v/>
      </c>
      <c r="E7" s="63">
        <f>'COGS Build'!E26</f>
        <v/>
      </c>
      <c r="F7" s="63">
        <f>'COGS Build'!F26</f>
        <v/>
      </c>
      <c r="G7" s="63">
        <f>'COGS Build'!G26</f>
        <v/>
      </c>
      <c r="H7" s="63">
        <f>'COGS Build'!H26</f>
        <v/>
      </c>
      <c r="I7" s="63">
        <f>'COGS Build'!I26</f>
        <v/>
      </c>
      <c r="J7" s="63">
        <f>'COGS Build'!J26</f>
        <v/>
      </c>
      <c r="K7" s="63">
        <f>'COGS Build'!K26</f>
        <v/>
      </c>
      <c r="L7" s="63">
        <f>'COGS Build'!L26</f>
        <v/>
      </c>
      <c r="M7" s="63">
        <f>'COGS Build'!M26</f>
        <v/>
      </c>
      <c r="N7" s="63">
        <f>'COGS Build'!N26</f>
        <v/>
      </c>
      <c r="O7" s="59">
        <f>'COGS Build'!O26</f>
        <v/>
      </c>
      <c r="P7" s="64" t="n">
        <v>858000</v>
      </c>
      <c r="Q7" s="64" t="n">
        <v>840000</v>
      </c>
      <c r="R7" s="64" t="n">
        <v>1040000</v>
      </c>
    </row>
    <row r="8" ht="17" customHeight="1" s="130">
      <c r="A8" s="65" t="inlineStr">
        <is>
          <t>Gross Profit</t>
        </is>
      </c>
      <c r="B8" s="63">
        <f>B6-B7</f>
        <v/>
      </c>
      <c r="C8" s="63">
        <f>C6-C7</f>
        <v/>
      </c>
      <c r="D8" s="63">
        <f>D6-D7</f>
        <v/>
      </c>
      <c r="E8" s="63">
        <f>E6-E7</f>
        <v/>
      </c>
      <c r="F8" s="63">
        <f>F6-F7</f>
        <v/>
      </c>
      <c r="G8" s="63">
        <f>G6-G7</f>
        <v/>
      </c>
      <c r="H8" s="63">
        <f>H6-H7</f>
        <v/>
      </c>
      <c r="I8" s="63">
        <f>I6-I7</f>
        <v/>
      </c>
      <c r="J8" s="63">
        <f>J6-J7</f>
        <v/>
      </c>
      <c r="K8" s="63">
        <f>K6-K7</f>
        <v/>
      </c>
      <c r="L8" s="63">
        <f>L6-L7</f>
        <v/>
      </c>
      <c r="M8" s="63">
        <f>M6-M7</f>
        <v/>
      </c>
      <c r="N8" s="63">
        <f>N6-N7</f>
        <v/>
      </c>
      <c r="O8" s="59">
        <f>O6-O7</f>
        <v/>
      </c>
      <c r="P8" s="63">
        <f>P6-P7</f>
        <v/>
      </c>
      <c r="Q8" s="63">
        <f>Q6-Q7</f>
        <v/>
      </c>
      <c r="R8" s="63">
        <f>R6-R7</f>
        <v/>
      </c>
    </row>
    <row r="9" ht="17" customHeight="1" s="130">
      <c r="A9" s="65" t="inlineStr">
        <is>
          <t>Gross Margin %</t>
        </is>
      </c>
      <c r="B9" s="66">
        <f>B8/B6</f>
        <v/>
      </c>
      <c r="C9" s="66">
        <f>C8/C6</f>
        <v/>
      </c>
      <c r="D9" s="66">
        <f>D8/D6</f>
        <v/>
      </c>
      <c r="E9" s="66">
        <f>E8/E6</f>
        <v/>
      </c>
      <c r="F9" s="66">
        <f>F8/F6</f>
        <v/>
      </c>
      <c r="G9" s="66">
        <f>G8/G6</f>
        <v/>
      </c>
      <c r="H9" s="66">
        <f>H8/H6</f>
        <v/>
      </c>
      <c r="I9" s="66">
        <f>I8/I6</f>
        <v/>
      </c>
      <c r="J9" s="66">
        <f>J8/J6</f>
        <v/>
      </c>
      <c r="K9" s="66">
        <f>K8/K6</f>
        <v/>
      </c>
      <c r="L9" s="66">
        <f>L8/L6</f>
        <v/>
      </c>
      <c r="M9" s="66">
        <f>M8/M6</f>
        <v/>
      </c>
      <c r="N9" s="66">
        <f>N8/N6</f>
        <v/>
      </c>
      <c r="O9" s="67">
        <f>O8/O6</f>
        <v/>
      </c>
      <c r="P9" s="66">
        <f>P8/P6</f>
        <v/>
      </c>
      <c r="Q9" s="66">
        <f>Q8/Q6</f>
        <v/>
      </c>
      <c r="R9" s="66">
        <f>R8/R6</f>
        <v/>
      </c>
    </row>
    <row r="10" ht="6" customHeight="1" s="130"/>
    <row r="11" ht="17" customHeight="1" s="130">
      <c r="A11" s="61" t="inlineStr">
        <is>
          <t>Less: OpEx</t>
        </is>
      </c>
      <c r="B11" s="62" t="n">
        <v>7100000</v>
      </c>
      <c r="C11" s="63">
        <f>'OpEx Detail'!C23</f>
        <v/>
      </c>
      <c r="D11" s="63">
        <f>'OpEx Detail'!D23</f>
        <v/>
      </c>
      <c r="E11" s="63">
        <f>'OpEx Detail'!E23</f>
        <v/>
      </c>
      <c r="F11" s="63">
        <f>'OpEx Detail'!F23</f>
        <v/>
      </c>
      <c r="G11" s="63">
        <f>'OpEx Detail'!G23</f>
        <v/>
      </c>
      <c r="H11" s="63">
        <f>'OpEx Detail'!H23</f>
        <v/>
      </c>
      <c r="I11" s="63">
        <f>'OpEx Detail'!I23</f>
        <v/>
      </c>
      <c r="J11" s="63">
        <f>'OpEx Detail'!J23</f>
        <v/>
      </c>
      <c r="K11" s="63">
        <f>'OpEx Detail'!K23</f>
        <v/>
      </c>
      <c r="L11" s="63">
        <f>'OpEx Detail'!L23</f>
        <v/>
      </c>
      <c r="M11" s="63">
        <f>'OpEx Detail'!M23</f>
        <v/>
      </c>
      <c r="N11" s="63">
        <f>'OpEx Detail'!N23</f>
        <v/>
      </c>
      <c r="O11" s="59">
        <f>'OpEx Detail'!O23</f>
        <v/>
      </c>
      <c r="P11" s="64" t="n">
        <v>685000</v>
      </c>
      <c r="Q11" s="64" t="n">
        <v>658000</v>
      </c>
      <c r="R11" s="64" t="n">
        <v>710000</v>
      </c>
    </row>
    <row r="12" ht="17" customHeight="1" s="130">
      <c r="A12" s="65" t="inlineStr">
        <is>
          <t>Operating Profit</t>
        </is>
      </c>
      <c r="B12" s="63">
        <f>B8-B11</f>
        <v/>
      </c>
      <c r="C12" s="63">
        <f>C8-C11</f>
        <v/>
      </c>
      <c r="D12" s="63">
        <f>D8-D11</f>
        <v/>
      </c>
      <c r="E12" s="63">
        <f>E8-E11</f>
        <v/>
      </c>
      <c r="F12" s="63">
        <f>F8-F11</f>
        <v/>
      </c>
      <c r="G12" s="63">
        <f>G8-G11</f>
        <v/>
      </c>
      <c r="H12" s="63">
        <f>H8-H11</f>
        <v/>
      </c>
      <c r="I12" s="63">
        <f>I8-I11</f>
        <v/>
      </c>
      <c r="J12" s="63">
        <f>J8-J11</f>
        <v/>
      </c>
      <c r="K12" s="63">
        <f>K8-K11</f>
        <v/>
      </c>
      <c r="L12" s="63">
        <f>L8-L11</f>
        <v/>
      </c>
      <c r="M12" s="63">
        <f>M8-M11</f>
        <v/>
      </c>
      <c r="N12" s="63">
        <f>N8-N11</f>
        <v/>
      </c>
      <c r="O12" s="59">
        <f>O8-O11</f>
        <v/>
      </c>
      <c r="P12" s="63">
        <f>P8-P11</f>
        <v/>
      </c>
      <c r="Q12" s="63">
        <f>Q8-Q11</f>
        <v/>
      </c>
      <c r="R12" s="63">
        <f>R8-R11</f>
        <v/>
      </c>
    </row>
    <row r="13" ht="17" customHeight="1" s="130">
      <c r="A13" s="65" t="inlineStr">
        <is>
          <t>Operating Margin %</t>
        </is>
      </c>
      <c r="B13" s="66">
        <f>B12/B6</f>
        <v/>
      </c>
      <c r="C13" s="66">
        <f>C12/C6</f>
        <v/>
      </c>
      <c r="D13" s="66">
        <f>D12/D6</f>
        <v/>
      </c>
      <c r="E13" s="66">
        <f>E12/E6</f>
        <v/>
      </c>
      <c r="F13" s="66">
        <f>F12/F6</f>
        <v/>
      </c>
      <c r="G13" s="66">
        <f>G12/G6</f>
        <v/>
      </c>
      <c r="H13" s="66">
        <f>H12/H6</f>
        <v/>
      </c>
      <c r="I13" s="66">
        <f>I12/I6</f>
        <v/>
      </c>
      <c r="J13" s="66">
        <f>J12/J6</f>
        <v/>
      </c>
      <c r="K13" s="66">
        <f>K12/K6</f>
        <v/>
      </c>
      <c r="L13" s="66">
        <f>L12/L6</f>
        <v/>
      </c>
      <c r="M13" s="66">
        <f>M12/M6</f>
        <v/>
      </c>
      <c r="N13" s="66">
        <f>N12/N6</f>
        <v/>
      </c>
      <c r="O13" s="67">
        <f>O12/O6</f>
        <v/>
      </c>
      <c r="P13" s="66">
        <f>P12/P6</f>
        <v/>
      </c>
      <c r="Q13" s="66">
        <f>Q12/Q6</f>
        <v/>
      </c>
      <c r="R13" s="66">
        <f>R12/R6</f>
        <v/>
      </c>
    </row>
  </sheetData>
  <mergeCells count="2">
    <mergeCell ref="A2:R2"/>
    <mergeCell ref="A1:R1"/>
  </mergeCells>
  <pageMargins left="0.75" right="0.75" top="1" bottom="1" header="0.5" footer="0.5"/>
</worksheet>
</file>

<file path=xl/worksheets/sheet6.xml><?xml version="1.0" encoding="utf-8"?>
<worksheet xmlns="http://schemas.openxmlformats.org/spreadsheetml/2006/main">
  <sheetPr>
    <tabColor rgb="FFFF0000"/>
    <outlinePr summaryBelow="1" summaryRight="1"/>
    <pageSetUpPr/>
  </sheetPr>
  <dimension ref="A1:X20"/>
  <sheetViews>
    <sheetView workbookViewId="0">
      <pane xSplit="1" ySplit="6" topLeftCell="H7" activePane="bottomRight" state="frozen"/>
      <selection pane="topRight" activeCell="A1" sqref="A1"/>
      <selection pane="bottomLeft" activeCell="A1" sqref="A1"/>
      <selection pane="bottomRight" activeCell="L8" sqref="L8"/>
    </sheetView>
  </sheetViews>
  <sheetFormatPr baseColWidth="10" defaultColWidth="8.83203125" defaultRowHeight="15"/>
  <cols>
    <col width="22" customWidth="1" style="130" min="1" max="1"/>
    <col width="13" customWidth="1" style="130" min="2" max="4"/>
    <col width="10" customWidth="1" style="130" min="5" max="5"/>
    <col width="13" customWidth="1" style="130" min="6" max="6"/>
    <col width="2" customWidth="1" style="130" min="7" max="7"/>
    <col width="13" customWidth="1" style="130" min="8" max="10"/>
    <col width="10" customWidth="1" style="130" min="11" max="11"/>
    <col width="13" customWidth="1" style="130" min="12" max="12"/>
    <col width="2" customWidth="1" style="130" min="13" max="13"/>
    <col width="13" customWidth="1" style="130" min="14" max="16"/>
    <col width="10" customWidth="1" style="130" min="17" max="17"/>
    <col width="13" customWidth="1" style="130" min="18" max="18"/>
    <col width="2" customWidth="1" style="130" min="19" max="19"/>
    <col width="13" customWidth="1" style="130" min="20" max="22"/>
    <col width="10" customWidth="1" style="130" min="23" max="23"/>
    <col width="13" customWidth="1" style="130" min="24" max="24"/>
  </cols>
  <sheetData>
    <row r="1" ht="24" customHeight="1" s="130">
      <c r="A1" s="134" t="inlineStr">
        <is>
          <t>ZARA &amp; CO. — VARIANCE ANALYSIS FY2025</t>
        </is>
      </c>
    </row>
    <row r="2" ht="14" customHeight="1" s="130">
      <c r="A2" s="131" t="inlineStr">
        <is>
          <t>Actual vs Budget — Q1 YTD. $ Var = Actual − Budget. Fav/Unfav: revenue &amp; profit lines Fav if positive; cost lines Fav if negative.</t>
        </is>
      </c>
    </row>
    <row r="3" ht="14" customHeight="1" s="130">
      <c r="A3" s="68" t="inlineStr">
        <is>
          <t>Colour key:</t>
        </is>
      </c>
      <c r="B3" s="69" t="inlineStr">
        <is>
          <t xml:space="preserve">  Budget  </t>
        </is>
      </c>
      <c r="C3" s="70" t="inlineStr">
        <is>
          <t xml:space="preserve">  Actual  </t>
        </is>
      </c>
      <c r="D3" s="71" t="inlineStr">
        <is>
          <t xml:space="preserve">  Fav (green) / Unfav (red) — conditional formatting applied by Ashnad  </t>
        </is>
      </c>
    </row>
    <row r="4" ht="8" customHeight="1" s="130"/>
    <row r="5" ht="16" customHeight="1" s="130">
      <c r="B5" s="132" t="inlineStr">
        <is>
          <t>January</t>
        </is>
      </c>
      <c r="H5" s="132" t="inlineStr">
        <is>
          <t>February</t>
        </is>
      </c>
      <c r="N5" s="132" t="inlineStr">
        <is>
          <t>March</t>
        </is>
      </c>
      <c r="T5" s="133" t="inlineStr">
        <is>
          <t>Q1 Total</t>
        </is>
      </c>
    </row>
    <row r="6" ht="14" customHeight="1" s="130">
      <c r="B6" s="73" t="inlineStr">
        <is>
          <t>Budget</t>
        </is>
      </c>
      <c r="C6" s="74" t="inlineStr">
        <is>
          <t>Actual</t>
        </is>
      </c>
      <c r="D6" s="75" t="inlineStr">
        <is>
          <t>$ Variance</t>
        </is>
      </c>
      <c r="E6" s="75" t="inlineStr">
        <is>
          <t>Fav/Unfav</t>
        </is>
      </c>
      <c r="F6" s="75" t="inlineStr">
        <is>
          <t>% Variance</t>
        </is>
      </c>
      <c r="H6" s="73" t="inlineStr">
        <is>
          <t>Budget</t>
        </is>
      </c>
      <c r="I6" s="74" t="inlineStr">
        <is>
          <t>Actual</t>
        </is>
      </c>
      <c r="J6" s="75" t="inlineStr">
        <is>
          <t>$ Variance</t>
        </is>
      </c>
      <c r="K6" s="75" t="inlineStr">
        <is>
          <t>Fav/Unfav</t>
        </is>
      </c>
      <c r="L6" s="75" t="inlineStr">
        <is>
          <t>% Variance</t>
        </is>
      </c>
      <c r="N6" s="73" t="inlineStr">
        <is>
          <t>Budget</t>
        </is>
      </c>
      <c r="O6" s="74" t="inlineStr">
        <is>
          <t>Actual</t>
        </is>
      </c>
      <c r="P6" s="75" t="inlineStr">
        <is>
          <t>$ Variance</t>
        </is>
      </c>
      <c r="Q6" s="75" t="inlineStr">
        <is>
          <t>Fav/Unfav</t>
        </is>
      </c>
      <c r="R6" s="75" t="inlineStr">
        <is>
          <t>% Variance</t>
        </is>
      </c>
      <c r="T6" s="76" t="inlineStr">
        <is>
          <t>Budget</t>
        </is>
      </c>
      <c r="U6" s="76" t="inlineStr">
        <is>
          <t>Actual</t>
        </is>
      </c>
      <c r="V6" s="76" t="inlineStr">
        <is>
          <t>$ Variance</t>
        </is>
      </c>
      <c r="W6" s="76" t="inlineStr">
        <is>
          <t>Fav/Unfav</t>
        </is>
      </c>
      <c r="X6" s="76" t="inlineStr">
        <is>
          <t>% Variance</t>
        </is>
      </c>
    </row>
    <row r="7" ht="17" customHeight="1" s="130">
      <c r="A7" s="77" t="inlineStr">
        <is>
          <t>Revenue</t>
        </is>
      </c>
      <c r="B7" s="80">
        <f>'P&amp;L Summary'!C6</f>
        <v/>
      </c>
      <c r="C7" s="81">
        <f>'P&amp;L Summary'!P6</f>
        <v/>
      </c>
      <c r="D7" s="82">
        <f>C7-B7</f>
        <v/>
      </c>
      <c r="E7" s="85">
        <f>IF(D7&lt;0,"Unfav","Fav")</f>
        <v/>
      </c>
      <c r="F7" s="83">
        <f>D7/B7</f>
        <v/>
      </c>
      <c r="H7" s="80">
        <f>'P&amp;L Summary'!D6</f>
        <v/>
      </c>
      <c r="I7" s="81">
        <f>'P&amp;L Summary'!Q6</f>
        <v/>
      </c>
      <c r="J7" s="82">
        <f>I7-H7</f>
        <v/>
      </c>
      <c r="K7" s="85">
        <f>IF(J7&lt;0,"Unfav","Fav")</f>
        <v/>
      </c>
      <c r="L7" s="83">
        <f>J7/H7</f>
        <v/>
      </c>
      <c r="N7" s="80">
        <f>'P&amp;L Summary'!E6</f>
        <v/>
      </c>
      <c r="O7" s="81">
        <f>'P&amp;L Summary'!R6</f>
        <v/>
      </c>
      <c r="P7" s="82">
        <f>O7-N7</f>
        <v/>
      </c>
      <c r="Q7" s="85">
        <f>IF(P7&lt;0,"Unfav","Fav")</f>
        <v/>
      </c>
      <c r="R7" s="83">
        <f>P7/N7</f>
        <v/>
      </c>
      <c r="T7" s="78">
        <f>B7+H7+N7</f>
        <v/>
      </c>
      <c r="U7" s="78">
        <f>C7+I7+O7</f>
        <v/>
      </c>
      <c r="V7" s="78">
        <f>D7+J7+P7</f>
        <v/>
      </c>
      <c r="W7" s="133">
        <f>IF(V7&lt;0,"Unfav","Fav")</f>
        <v/>
      </c>
      <c r="X7" s="89">
        <f>V7/T7</f>
        <v/>
      </c>
    </row>
    <row r="8" ht="17" customHeight="1" s="130">
      <c r="A8" s="79" t="inlineStr">
        <is>
          <t>Less: COGS</t>
        </is>
      </c>
      <c r="B8" s="80">
        <f>'P&amp;L Summary'!C7</f>
        <v/>
      </c>
      <c r="C8" s="81">
        <f>'P&amp;L Summary'!P7</f>
        <v/>
      </c>
      <c r="D8" s="82">
        <f>C8-B8</f>
        <v/>
      </c>
      <c r="E8" s="85">
        <f>IF(D8&gt;0,"Unfav","Fav")</f>
        <v/>
      </c>
      <c r="F8" s="83">
        <f>D8/B8</f>
        <v/>
      </c>
      <c r="H8" s="80">
        <f>'P&amp;L Summary'!D7</f>
        <v/>
      </c>
      <c r="I8" s="81">
        <f>'P&amp;L Summary'!Q7</f>
        <v/>
      </c>
      <c r="J8" s="82">
        <f>I8-H8</f>
        <v/>
      </c>
      <c r="K8" s="85">
        <f>IF(J8&gt;0,"Unfav","Fav")</f>
        <v/>
      </c>
      <c r="L8" s="83">
        <f>J8/H8</f>
        <v/>
      </c>
      <c r="N8" s="80">
        <f>'P&amp;L Summary'!E7</f>
        <v/>
      </c>
      <c r="O8" s="81">
        <f>'P&amp;L Summary'!R7</f>
        <v/>
      </c>
      <c r="P8" s="82">
        <f>O8-N8</f>
        <v/>
      </c>
      <c r="Q8" s="85">
        <f>IF(P8&gt;0,"Unfav","Fav")</f>
        <v/>
      </c>
      <c r="R8" s="83">
        <f>P8/N8</f>
        <v/>
      </c>
      <c r="T8" s="78">
        <f>B8+H8+N8</f>
        <v/>
      </c>
      <c r="U8" s="78">
        <f>C8+I8+O8</f>
        <v/>
      </c>
      <c r="V8" s="78">
        <f>D8+J8+P8</f>
        <v/>
      </c>
      <c r="W8" s="133">
        <f>IF(V8&gt;0,"Unfav","Fav")</f>
        <v/>
      </c>
      <c r="X8" s="89">
        <f>V8/T8</f>
        <v/>
      </c>
    </row>
    <row r="9" ht="17" customHeight="1" s="130">
      <c r="A9" s="84" t="inlineStr">
        <is>
          <t>Gross Profit</t>
        </is>
      </c>
      <c r="B9" s="80">
        <f>'P&amp;L Summary'!C8</f>
        <v/>
      </c>
      <c r="C9" s="81">
        <f>'P&amp;L Summary'!P8</f>
        <v/>
      </c>
      <c r="D9" s="82">
        <f>C9-B9</f>
        <v/>
      </c>
      <c r="E9" s="85">
        <f>IF(D9&lt;0,"Unfav","Fav")</f>
        <v/>
      </c>
      <c r="F9" s="83">
        <f>D9/B9</f>
        <v/>
      </c>
      <c r="H9" s="80">
        <f>'P&amp;L Summary'!D8</f>
        <v/>
      </c>
      <c r="I9" s="81">
        <f>'P&amp;L Summary'!Q8</f>
        <v/>
      </c>
      <c r="J9" s="82">
        <f>I9-H9</f>
        <v/>
      </c>
      <c r="K9" s="85">
        <f>IF(J9&lt;0,"Unfav","Fav")</f>
        <v/>
      </c>
      <c r="L9" s="83">
        <f>J9/H9</f>
        <v/>
      </c>
      <c r="N9" s="80">
        <f>'P&amp;L Summary'!E8</f>
        <v/>
      </c>
      <c r="O9" s="81">
        <f>'P&amp;L Summary'!R8</f>
        <v/>
      </c>
      <c r="P9" s="82">
        <f>O9-N9</f>
        <v/>
      </c>
      <c r="Q9" s="85">
        <f>IF(P9&lt;0,"Unfav","Fav")</f>
        <v/>
      </c>
      <c r="R9" s="83">
        <f>P9/N9</f>
        <v/>
      </c>
      <c r="T9" s="78">
        <f>B9+H9+N9</f>
        <v/>
      </c>
      <c r="U9" s="78">
        <f>C9+I9+O9</f>
        <v/>
      </c>
      <c r="V9" s="78">
        <f>D9+J9+P9</f>
        <v/>
      </c>
      <c r="W9" s="133">
        <f>IF(V9&lt;0,"Unfav","Fav")</f>
        <v/>
      </c>
      <c r="X9" s="89">
        <f>V9/T9</f>
        <v/>
      </c>
    </row>
    <row r="10" ht="17" customHeight="1" s="130">
      <c r="A10" s="84" t="inlineStr">
        <is>
          <t>Gross Margin %</t>
        </is>
      </c>
      <c r="B10" s="86">
        <f>'P&amp;L Summary'!C9</f>
        <v/>
      </c>
      <c r="C10" s="87">
        <f>'P&amp;L Summary'!P9</f>
        <v/>
      </c>
      <c r="D10" s="88">
        <f>C10-B10</f>
        <v/>
      </c>
      <c r="E10" s="85">
        <f>IF(D10&lt;0,"Unfav","Fav")</f>
        <v/>
      </c>
      <c r="F10" s="83" t="n"/>
      <c r="H10" s="86">
        <f>'P&amp;L Summary'!D9</f>
        <v/>
      </c>
      <c r="I10" s="87">
        <f>'P&amp;L Summary'!Q9</f>
        <v/>
      </c>
      <c r="J10" s="88">
        <f>I10-H10</f>
        <v/>
      </c>
      <c r="K10" s="85">
        <f>IF(J10&lt;0,"Unfav","Fav")</f>
        <v/>
      </c>
      <c r="L10" s="83" t="n"/>
      <c r="N10" s="86">
        <f>'P&amp;L Summary'!E9</f>
        <v/>
      </c>
      <c r="O10" s="87">
        <f>'P&amp;L Summary'!R9</f>
        <v/>
      </c>
      <c r="P10" s="88">
        <f>O10-N10</f>
        <v/>
      </c>
      <c r="Q10" s="85">
        <f>IF(P10&lt;0,"Unfav","Fav")</f>
        <v/>
      </c>
      <c r="R10" s="83" t="n"/>
      <c r="T10" s="89">
        <f>T9/T7</f>
        <v/>
      </c>
      <c r="U10" s="89">
        <f>U9/U7</f>
        <v/>
      </c>
      <c r="V10" s="89">
        <f>U10-T10</f>
        <v/>
      </c>
      <c r="W10" s="133">
        <f>IF(V10&lt;0,"Unfav","Fav")</f>
        <v/>
      </c>
      <c r="X10" s="89" t="n"/>
    </row>
    <row r="11" ht="6" customHeight="1" s="130"/>
    <row r="12" ht="17" customHeight="1" s="130">
      <c r="A12" s="79" t="inlineStr">
        <is>
          <t>Less: OpEx</t>
        </is>
      </c>
      <c r="B12" s="80">
        <f>'P&amp;L Summary'!C11</f>
        <v/>
      </c>
      <c r="C12" s="81">
        <f>'P&amp;L Summary'!P11</f>
        <v/>
      </c>
      <c r="D12" s="82">
        <f>C12-B12</f>
        <v/>
      </c>
      <c r="E12" s="85">
        <f>IF(D12&gt;0,"Unfav","Fav")</f>
        <v/>
      </c>
      <c r="F12" s="83">
        <f>D12/B12</f>
        <v/>
      </c>
      <c r="H12" s="80">
        <f>'P&amp;L Summary'!D11</f>
        <v/>
      </c>
      <c r="I12" s="81">
        <f>'P&amp;L Summary'!Q11</f>
        <v/>
      </c>
      <c r="J12" s="82">
        <f>I12-H12</f>
        <v/>
      </c>
      <c r="K12" s="85">
        <f>IF(J12&gt;0,"Unfav","Fav")</f>
        <v/>
      </c>
      <c r="L12" s="88">
        <f>J12/H12</f>
        <v/>
      </c>
      <c r="N12" s="80">
        <f>'P&amp;L Summary'!E11</f>
        <v/>
      </c>
      <c r="O12" s="81">
        <f>'P&amp;L Summary'!R11</f>
        <v/>
      </c>
      <c r="P12" s="82">
        <f>O12-N12</f>
        <v/>
      </c>
      <c r="Q12" s="85">
        <f>IF(P12&gt;0,"Unfav","Fav")</f>
        <v/>
      </c>
      <c r="R12" s="83">
        <f>P12/N12</f>
        <v/>
      </c>
      <c r="T12" s="78">
        <f>B12+H12+N12</f>
        <v/>
      </c>
      <c r="U12" s="78">
        <f>C12+I12+O12</f>
        <v/>
      </c>
      <c r="V12" s="78">
        <f>D12+J12+P12</f>
        <v/>
      </c>
      <c r="W12" s="90">
        <f>IF(V12&gt;0,"Unfav","Fav")</f>
        <v/>
      </c>
      <c r="X12" s="89">
        <f>V12/T12</f>
        <v/>
      </c>
    </row>
    <row r="13" ht="17" customHeight="1" s="130">
      <c r="A13" s="84" t="inlineStr">
        <is>
          <t>Operating Profit</t>
        </is>
      </c>
      <c r="B13" s="80">
        <f>'P&amp;L Summary'!C12</f>
        <v/>
      </c>
      <c r="C13" s="81">
        <f>'P&amp;L Summary'!P12</f>
        <v/>
      </c>
      <c r="D13" s="82">
        <f>C13-B13</f>
        <v/>
      </c>
      <c r="E13" s="85">
        <f>IF(D13&lt;0,"Unfav","Fav")</f>
        <v/>
      </c>
      <c r="F13" s="83">
        <f>D13/B13</f>
        <v/>
      </c>
      <c r="H13" s="80">
        <f>'P&amp;L Summary'!D12</f>
        <v/>
      </c>
      <c r="I13" s="81">
        <f>'P&amp;L Summary'!Q12</f>
        <v/>
      </c>
      <c r="J13" s="82">
        <f>I13-H13</f>
        <v/>
      </c>
      <c r="K13" s="85">
        <f>IF(J13&lt;0,"Unfav","Fav")</f>
        <v/>
      </c>
      <c r="L13" s="83">
        <f>J13/H13</f>
        <v/>
      </c>
      <c r="N13" s="80">
        <f>'P&amp;L Summary'!E12</f>
        <v/>
      </c>
      <c r="O13" s="81">
        <f>'P&amp;L Summary'!R12</f>
        <v/>
      </c>
      <c r="P13" s="82">
        <f>O13-N13</f>
        <v/>
      </c>
      <c r="Q13" s="85">
        <f>IF(P13&lt;0,"Unfav","Fav")</f>
        <v/>
      </c>
      <c r="R13" s="83">
        <f>P13/N13</f>
        <v/>
      </c>
      <c r="T13" s="78">
        <f>B13+H13+N13</f>
        <v/>
      </c>
      <c r="U13" s="78">
        <f>C13+I13+O13</f>
        <v/>
      </c>
      <c r="V13" s="78">
        <f>D13+J13+P13</f>
        <v/>
      </c>
      <c r="W13" s="90">
        <f>IF(V13&lt;0,"Unfav","Fav")</f>
        <v/>
      </c>
      <c r="X13" s="89">
        <f>V13/T13</f>
        <v/>
      </c>
    </row>
    <row r="14" ht="17" customHeight="1" s="130">
      <c r="A14" s="84" t="inlineStr">
        <is>
          <t>Operating Margin %</t>
        </is>
      </c>
      <c r="B14" s="86">
        <f>'P&amp;L Summary'!C13</f>
        <v/>
      </c>
      <c r="C14" s="87">
        <f>'P&amp;L Summary'!P13</f>
        <v/>
      </c>
      <c r="D14" s="88">
        <f>C14-B14</f>
        <v/>
      </c>
      <c r="E14" s="85">
        <f>IF(D14&lt;0,"Unfav","Fav")</f>
        <v/>
      </c>
      <c r="F14" s="83" t="n"/>
      <c r="H14" s="86">
        <f>'P&amp;L Summary'!D13</f>
        <v/>
      </c>
      <c r="I14" s="87">
        <f>'P&amp;L Summary'!Q13</f>
        <v/>
      </c>
      <c r="J14" s="88">
        <f>I14-H14</f>
        <v/>
      </c>
      <c r="K14" s="85">
        <f>IF(J14&lt;0,"Unfav","Fav")</f>
        <v/>
      </c>
      <c r="L14" s="83" t="n"/>
      <c r="N14" s="86">
        <f>'P&amp;L Summary'!E13</f>
        <v/>
      </c>
      <c r="O14" s="87">
        <f>'P&amp;L Summary'!R13</f>
        <v/>
      </c>
      <c r="P14" s="88">
        <f>O14-N14</f>
        <v/>
      </c>
      <c r="Q14" s="85">
        <f>IF(P14&lt;0,"Unfav","Fav")</f>
        <v/>
      </c>
      <c r="R14" s="83" t="n"/>
      <c r="T14" s="89">
        <f>T13/T7</f>
        <v/>
      </c>
      <c r="U14" s="89">
        <f>U13/U7</f>
        <v/>
      </c>
      <c r="V14" s="89">
        <f>U14-T14</f>
        <v/>
      </c>
      <c r="W14" s="133">
        <f>IF(V14&lt;0,"Unfav","Fav")</f>
        <v/>
      </c>
      <c r="X14" s="89" t="n"/>
    </row>
    <row r="16" ht="8" customHeight="1" s="130"/>
    <row r="17" ht="18" customHeight="1" s="130">
      <c r="A17" s="135" t="inlineStr">
        <is>
          <t>MANAGEMENT COMMENTARY — Q1 FY2025</t>
        </is>
      </c>
    </row>
    <row r="18" ht="14" customHeight="1" s="130">
      <c r="A18" s="131" t="inlineStr">
        <is>
          <t>2 paragraphs: (1) Revenue &amp; Gross Profit drivers  (2) OpEx &amp; Operating Profit drivers. Name specific months and AED amounts.</t>
        </is>
      </c>
    </row>
    <row r="19" ht="50" customHeight="1" s="130">
      <c r="A19" s="129" t="inlineStr">
        <is>
          <t xml:space="preserve">Paragraph 1 — Revenue &amp; Gross Profit:  
Revenue came in at AED 1.90M against a January budget of AED 1.98M, a shortfall of AED 78K (-3.9%). Performance recovered through the quarter — February missed by AED 24K (-1.2%) and March delivered a small beat of AED 20K (+0.9%), supported by Ramadan uplift. COGS came in AED 29K below budget in January as lower volumes reduced input costs, but gross profit still missed by AED 49K as the revenue shortfall was not fully offset. </t>
        </is>
      </c>
    </row>
    <row r="20" ht="50" customHeight="1" s="130">
      <c r="A20" s="129" t="inlineStr">
        <is>
          <t>Paragraph 2 — OpEx &amp; EBITDA:
EBITDA fell short by AED 91K (-10.1%) for the quarter, driven by two factors: a cumulative gross profit miss of AED 229K and an OpEx overspend of AED 70K (+3.4%). Marketing costs ran above plan in all three months, with March showing the largest deviation at AED 43K above budget. The combined effect compressed EBITDA margin by approximately 4.5 percentage points versus budget.</t>
        </is>
      </c>
    </row>
  </sheetData>
  <mergeCells count="10">
    <mergeCell ref="A20:X20"/>
    <mergeCell ref="A2:X2"/>
    <mergeCell ref="B5:F5"/>
    <mergeCell ref="T5:X5"/>
    <mergeCell ref="A19:X19"/>
    <mergeCell ref="A1:X1"/>
    <mergeCell ref="H5:L5"/>
    <mergeCell ref="N5:R5"/>
    <mergeCell ref="A17:X17"/>
    <mergeCell ref="A18:X18"/>
  </mergeCells>
  <conditionalFormatting sqref="E7:E10 E12:E14">
    <cfRule type="containsText" priority="12" operator="containsText" dxfId="0" text="Fav">
      <formula>NOT(ISERROR(SEARCH("Fav",E7)))</formula>
    </cfRule>
  </conditionalFormatting>
  <conditionalFormatting sqref="E7:E10 E12:E14 K7:K10 K12:K14 Q7:Q10 Q12:Q14 W7:W10 W12:W14">
    <cfRule type="expression" priority="2" dxfId="1">
      <formula>XEQ2="Unfav"</formula>
    </cfRule>
    <cfRule type="expression" priority="3" dxfId="0">
      <formula>XEQ2="Fav"</formula>
    </cfRule>
  </conditionalFormatting>
  <conditionalFormatting sqref="E7:E14">
    <cfRule type="containsText" priority="11" operator="containsText" dxfId="1" text="Unfav">
      <formula>NOT(ISERROR(SEARCH("Unfav",E7)))</formula>
    </cfRule>
  </conditionalFormatting>
  <conditionalFormatting sqref="K7">
    <cfRule type="containsText" priority="10" operator="containsText" dxfId="0" text="Fav">
      <formula>NOT(ISERROR(SEARCH("Fav",K7)))</formula>
    </cfRule>
  </conditionalFormatting>
  <conditionalFormatting sqref="K7:K10 K12:K14">
    <cfRule type="containsText" priority="8" operator="containsText" dxfId="1" text="Unfav">
      <formula>NOT(ISERROR(SEARCH("Unfav",K7)))</formula>
    </cfRule>
  </conditionalFormatting>
  <conditionalFormatting sqref="K8:K10 K12:K14">
    <cfRule type="containsText" priority="9" operator="containsText" dxfId="0" stopIfTrue="1" text="Fav">
      <formula>NOT(ISERROR(SEARCH("Fav",K8)))</formula>
    </cfRule>
  </conditionalFormatting>
  <conditionalFormatting sqref="Q7:Q10 Q12:Q14 W7:W10 W12:W14">
    <cfRule type="containsText" priority="4" operator="containsText" dxfId="1" text="Unfav">
      <formula>NOT(ISERROR(SEARCH("Unfav",Q7)))</formula>
    </cfRule>
    <cfRule type="containsText" priority="5" operator="containsText" dxfId="0" text="Fav">
      <formula>NOT(ISERROR(SEARCH("Fav",Q7)))</formula>
    </cfRule>
  </conditionalFormatting>
  <conditionalFormatting sqref="W13">
    <cfRule type="expression" priority="1" dxfId="1">
      <formula>$W$13="Unfav"</formula>
    </cfRule>
  </conditionalFormatting>
  <pageMargins left="0.75" right="0.75" top="1" bottom="1" header="0.5" footer="0.5"/>
</worksheet>
</file>

<file path=xl/worksheets/sheet7.xml><?xml version="1.0" encoding="utf-8"?>
<worksheet xmlns="http://schemas.openxmlformats.org/spreadsheetml/2006/main">
  <sheetPr>
    <tabColor rgb="FF7030A0"/>
    <outlinePr summaryBelow="1" summaryRight="1"/>
    <pageSetUpPr/>
  </sheetPr>
  <dimension ref="A1:N14"/>
  <sheetViews>
    <sheetView workbookViewId="0">
      <pane xSplit="1" ySplit="6" topLeftCell="B7" activePane="bottomRight" state="frozen"/>
      <selection pane="topRight" activeCell="A1" sqref="A1"/>
      <selection pane="bottomLeft" activeCell="A1" sqref="A1"/>
      <selection pane="bottomRight" activeCell="N21" sqref="N21"/>
    </sheetView>
  </sheetViews>
  <sheetFormatPr baseColWidth="10" defaultColWidth="8.83203125" defaultRowHeight="15"/>
  <cols>
    <col width="24" customWidth="1" style="130" min="1" max="1"/>
    <col width="13" customWidth="1" style="130" min="2" max="13"/>
    <col width="14" customWidth="1" style="130" min="14" max="14"/>
  </cols>
  <sheetData>
    <row r="1" ht="24" customHeight="1" s="130">
      <c r="A1" s="152" t="inlineStr">
        <is>
          <t>ZARA &amp; CO. — ROLLING FORECAST FY2025</t>
        </is>
      </c>
    </row>
    <row r="2" ht="28" customHeight="1" s="130">
      <c r="A2" s="151" t="inlineStr">
        <is>
          <t>Q1 actuals locked (Jan-Mar hardcoded). Apr-Dec = link from Revenue Build / COGS Build / OpEx Detail. FY Total = SUM of all 12 months. GP, EBITDA, margins = derived formulas.</t>
        </is>
      </c>
    </row>
    <row r="3" ht="14" customHeight="1" s="130">
      <c r="A3" s="91" t="inlineStr">
        <is>
          <t>Colour key:</t>
        </is>
      </c>
      <c r="B3" s="92" t="inlineStr">
        <is>
          <t xml:space="preserve">  Actual — locked  </t>
        </is>
      </c>
      <c r="C3" s="93" t="inlineStr">
        <is>
          <t xml:space="preserve">  Forecast (formula)  </t>
        </is>
      </c>
      <c r="E3" s="94" t="inlineStr">
        <is>
          <t xml:space="preserve">  FY Total  </t>
        </is>
      </c>
    </row>
    <row r="4" ht="8" customHeight="1" s="130"/>
    <row r="5" ht="20" customHeight="1" s="130">
      <c r="A5" s="95" t="inlineStr">
        <is>
          <t>Line Item</t>
        </is>
      </c>
      <c r="B5" s="96" t="inlineStr">
        <is>
          <t>Jan Actual</t>
        </is>
      </c>
      <c r="C5" s="96" t="inlineStr">
        <is>
          <t>Feb Actual</t>
        </is>
      </c>
      <c r="D5" s="96" t="inlineStr">
        <is>
          <t>Mar Actual</t>
        </is>
      </c>
      <c r="E5" s="97" t="inlineStr">
        <is>
          <t>Apr Fcst</t>
        </is>
      </c>
      <c r="F5" s="97" t="inlineStr">
        <is>
          <t>May Fcst</t>
        </is>
      </c>
      <c r="G5" s="97" t="inlineStr">
        <is>
          <t>Jun Fcst</t>
        </is>
      </c>
      <c r="H5" s="97" t="inlineStr">
        <is>
          <t>Jul Fcst</t>
        </is>
      </c>
      <c r="I5" s="97" t="inlineStr">
        <is>
          <t>Aug Fcst</t>
        </is>
      </c>
      <c r="J5" s="97" t="inlineStr">
        <is>
          <t>Sep Fcst</t>
        </is>
      </c>
      <c r="K5" s="97" t="inlineStr">
        <is>
          <t>Oct Fcst</t>
        </is>
      </c>
      <c r="L5" s="97" t="inlineStr">
        <is>
          <t>Nov Fcst</t>
        </is>
      </c>
      <c r="M5" s="97" t="inlineStr">
        <is>
          <t>Dec Fcst</t>
        </is>
      </c>
      <c r="N5" s="98" t="inlineStr">
        <is>
          <t>FY2025 Total</t>
        </is>
      </c>
    </row>
    <row r="6" ht="20" customHeight="1" s="130">
      <c r="E6" s="150" t="inlineStr">
        <is>
          <t>Apr-Dec: link from Revenue Build row 39 / COGS Build row 26 / OpEx Detail row 23  |  Col N: =SUM(B7:M7) for each row</t>
        </is>
      </c>
    </row>
    <row r="7" ht="17" customHeight="1" s="130">
      <c r="A7" s="99" t="inlineStr">
        <is>
          <t>Revenue</t>
        </is>
      </c>
      <c r="B7" s="100" t="n">
        <v>1900000</v>
      </c>
      <c r="C7" s="100" t="n">
        <v>1860000</v>
      </c>
      <c r="D7" s="100" t="n">
        <v>2280000</v>
      </c>
      <c r="E7" s="101">
        <f>'Revenue Build'!F39</f>
        <v/>
      </c>
      <c r="F7" s="101">
        <f>'Revenue Build'!G39</f>
        <v/>
      </c>
      <c r="G7" s="101">
        <f>'Revenue Build'!H39</f>
        <v/>
      </c>
      <c r="H7" s="101">
        <f>'Revenue Build'!I39</f>
        <v/>
      </c>
      <c r="I7" s="101">
        <f>'Revenue Build'!J39</f>
        <v/>
      </c>
      <c r="J7" s="101">
        <f>'Revenue Build'!K39</f>
        <v/>
      </c>
      <c r="K7" s="101">
        <f>'Revenue Build'!L39</f>
        <v/>
      </c>
      <c r="L7" s="101">
        <f>'Revenue Build'!M39</f>
        <v/>
      </c>
      <c r="M7" s="101">
        <f>'Revenue Build'!N39</f>
        <v/>
      </c>
      <c r="N7" s="102">
        <f>SUM(B7:M7)</f>
        <v/>
      </c>
    </row>
    <row r="8" ht="17" customHeight="1" s="130">
      <c r="A8" s="103" t="inlineStr">
        <is>
          <t>Less: COGS</t>
        </is>
      </c>
      <c r="B8" s="104" t="n">
        <v>858000</v>
      </c>
      <c r="C8" s="104" t="n">
        <v>840000</v>
      </c>
      <c r="D8" s="104" t="n">
        <v>1040000</v>
      </c>
      <c r="E8" s="105">
        <f>'COGS Build'!F26</f>
        <v/>
      </c>
      <c r="F8" s="105">
        <f>'COGS Build'!G26</f>
        <v/>
      </c>
      <c r="G8" s="105">
        <f>'COGS Build'!H26</f>
        <v/>
      </c>
      <c r="H8" s="105">
        <f>'COGS Build'!I26</f>
        <v/>
      </c>
      <c r="I8" s="105">
        <f>'COGS Build'!J26</f>
        <v/>
      </c>
      <c r="J8" s="105">
        <f>'COGS Build'!K26</f>
        <v/>
      </c>
      <c r="K8" s="105">
        <f>'COGS Build'!L26</f>
        <v/>
      </c>
      <c r="L8" s="105">
        <f>'COGS Build'!M26</f>
        <v/>
      </c>
      <c r="M8" s="105">
        <f>'COGS Build'!N26</f>
        <v/>
      </c>
      <c r="N8" s="102">
        <f>SUM(B8:M8)</f>
        <v/>
      </c>
    </row>
    <row r="9" ht="17" customHeight="1" s="130">
      <c r="A9" s="106" t="inlineStr">
        <is>
          <t>Gross Profit</t>
        </is>
      </c>
      <c r="B9" s="101">
        <f>B7-B8</f>
        <v/>
      </c>
      <c r="C9" s="101">
        <f>C7-C8</f>
        <v/>
      </c>
      <c r="D9" s="101">
        <f>D7-D8</f>
        <v/>
      </c>
      <c r="E9" s="101">
        <f>E7-E8</f>
        <v/>
      </c>
      <c r="F9" s="101">
        <f>F7-F8</f>
        <v/>
      </c>
      <c r="G9" s="101">
        <f>G7-G8</f>
        <v/>
      </c>
      <c r="H9" s="101">
        <f>H7-H8</f>
        <v/>
      </c>
      <c r="I9" s="101">
        <f>I7-I8</f>
        <v/>
      </c>
      <c r="J9" s="101">
        <f>J7-J8</f>
        <v/>
      </c>
      <c r="K9" s="101">
        <f>K7-K8</f>
        <v/>
      </c>
      <c r="L9" s="101">
        <f>L7-L8</f>
        <v/>
      </c>
      <c r="M9" s="101">
        <f>M7-M8</f>
        <v/>
      </c>
      <c r="N9" s="102">
        <f>SUM(B9:M9)</f>
        <v/>
      </c>
    </row>
    <row r="10" ht="17" customHeight="1" s="130">
      <c r="A10" s="106" t="inlineStr">
        <is>
          <t>Gross Margin %</t>
        </is>
      </c>
      <c r="B10" s="107">
        <f>B9/B7</f>
        <v/>
      </c>
      <c r="C10" s="107">
        <f>C9/C7</f>
        <v/>
      </c>
      <c r="D10" s="107">
        <f>D9/D7</f>
        <v/>
      </c>
      <c r="E10" s="107">
        <f>E9/E7</f>
        <v/>
      </c>
      <c r="F10" s="107">
        <f>F9/F7</f>
        <v/>
      </c>
      <c r="G10" s="107">
        <f>G9/G7</f>
        <v/>
      </c>
      <c r="H10" s="107">
        <f>H9/H7</f>
        <v/>
      </c>
      <c r="I10" s="107">
        <f>I9/I7</f>
        <v/>
      </c>
      <c r="J10" s="107">
        <f>J9/J7</f>
        <v/>
      </c>
      <c r="K10" s="107">
        <f>K9/K7</f>
        <v/>
      </c>
      <c r="L10" s="107">
        <f>L9/L7</f>
        <v/>
      </c>
      <c r="M10" s="107">
        <f>M9/M7</f>
        <v/>
      </c>
      <c r="N10" s="155">
        <f>N9/N7</f>
        <v/>
      </c>
    </row>
    <row r="11" ht="6" customHeight="1" s="130"/>
    <row r="12" ht="17" customHeight="1" s="130">
      <c r="A12" s="103" t="inlineStr">
        <is>
          <t>Less: OpEx</t>
        </is>
      </c>
      <c r="B12" s="104" t="n">
        <v>685000</v>
      </c>
      <c r="C12" s="104" t="n">
        <v>658000</v>
      </c>
      <c r="D12" s="104" t="n">
        <v>710000</v>
      </c>
      <c r="E12" s="105">
        <f>'OpEx Detail'!F23</f>
        <v/>
      </c>
      <c r="F12" s="105">
        <f>'OpEx Detail'!G23</f>
        <v/>
      </c>
      <c r="G12" s="105">
        <f>'OpEx Detail'!H23</f>
        <v/>
      </c>
      <c r="H12" s="105">
        <f>'OpEx Detail'!I23</f>
        <v/>
      </c>
      <c r="I12" s="105">
        <f>'OpEx Detail'!J23</f>
        <v/>
      </c>
      <c r="J12" s="105">
        <f>'OpEx Detail'!K23</f>
        <v/>
      </c>
      <c r="K12" s="105">
        <f>'OpEx Detail'!L23</f>
        <v/>
      </c>
      <c r="L12" s="105">
        <f>'OpEx Detail'!M23</f>
        <v/>
      </c>
      <c r="M12" s="105">
        <f>'OpEx Detail'!N23</f>
        <v/>
      </c>
      <c r="N12" s="102">
        <f>SUM(B12:M12)</f>
        <v/>
      </c>
    </row>
    <row r="13" ht="17" customHeight="1" s="130">
      <c r="A13" s="106" t="inlineStr">
        <is>
          <t>Operating Profit</t>
        </is>
      </c>
      <c r="B13" s="101">
        <f>B9-B12</f>
        <v/>
      </c>
      <c r="C13" s="101">
        <f>C9-C12</f>
        <v/>
      </c>
      <c r="D13" s="101">
        <f>D9-D12</f>
        <v/>
      </c>
      <c r="E13" s="101">
        <f>E9-E12</f>
        <v/>
      </c>
      <c r="F13" s="101">
        <f>F9-F12</f>
        <v/>
      </c>
      <c r="G13" s="101">
        <f>G9-G12</f>
        <v/>
      </c>
      <c r="H13" s="101">
        <f>H9-H12</f>
        <v/>
      </c>
      <c r="I13" s="101">
        <f>I9-I12</f>
        <v/>
      </c>
      <c r="J13" s="101">
        <f>J9-J12</f>
        <v/>
      </c>
      <c r="K13" s="101">
        <f>K9-K12</f>
        <v/>
      </c>
      <c r="L13" s="101">
        <f>L9-L12</f>
        <v/>
      </c>
      <c r="M13" s="101">
        <f>M9-M12</f>
        <v/>
      </c>
      <c r="N13" s="102">
        <f>SUM(B13:M13)</f>
        <v/>
      </c>
    </row>
    <row r="14" ht="17" customHeight="1" s="130">
      <c r="A14" s="106" t="inlineStr">
        <is>
          <t>Operating Margin %</t>
        </is>
      </c>
      <c r="B14" s="107">
        <f>B13/B7</f>
        <v/>
      </c>
      <c r="C14" s="107">
        <f>C13/C7</f>
        <v/>
      </c>
      <c r="D14" s="107">
        <f>D13/D7</f>
        <v/>
      </c>
      <c r="E14" s="107">
        <f>E13/E7</f>
        <v/>
      </c>
      <c r="F14" s="107">
        <f>F13/F7</f>
        <v/>
      </c>
      <c r="G14" s="107">
        <f>G13/G7</f>
        <v/>
      </c>
      <c r="H14" s="107">
        <f>H13/H7</f>
        <v/>
      </c>
      <c r="I14" s="107">
        <f>I13/I7</f>
        <v/>
      </c>
      <c r="J14" s="107">
        <f>J13/J7</f>
        <v/>
      </c>
      <c r="K14" s="107">
        <f>K13/K7</f>
        <v/>
      </c>
      <c r="L14" s="107">
        <f>L13/L7</f>
        <v/>
      </c>
      <c r="M14" s="107">
        <f>M13/M7</f>
        <v/>
      </c>
      <c r="N14" s="108">
        <f>N13/N7</f>
        <v/>
      </c>
    </row>
  </sheetData>
  <mergeCells count="3">
    <mergeCell ref="E6:N6"/>
    <mergeCell ref="A2:N2"/>
    <mergeCell ref="A1:N1"/>
  </mergeCells>
  <pageMargins left="0.75" right="0.75" top="1" bottom="1" header="0.5" footer="0.5"/>
</worksheet>
</file>

<file path=xl/worksheets/sheet8.xml><?xml version="1.0" encoding="utf-8"?>
<worksheet xmlns="http://schemas.openxmlformats.org/spreadsheetml/2006/main">
  <sheetPr>
    <tabColor rgb="FFED7D31"/>
    <outlinePr summaryBelow="1" summaryRight="1"/>
    <pageSetUpPr/>
  </sheetPr>
  <dimension ref="A1:G21"/>
  <sheetViews>
    <sheetView workbookViewId="0">
      <pane xSplit="1" ySplit="13" topLeftCell="B14" activePane="bottomRight" state="frozen"/>
      <selection pane="topRight" activeCell="A1" sqref="A1"/>
      <selection pane="bottomLeft" activeCell="A1" sqref="A1"/>
      <selection pane="bottomRight" activeCell="C16" sqref="C16"/>
    </sheetView>
  </sheetViews>
  <sheetFormatPr baseColWidth="10" defaultColWidth="8.83203125" defaultRowHeight="15"/>
  <cols>
    <col width="30" customWidth="1" style="130" min="1" max="1"/>
    <col width="18" customWidth="1" style="130" min="2" max="4"/>
    <col width="3" customWidth="1" style="130" min="5" max="5"/>
    <col width="18" customWidth="1" style="130" min="6" max="7"/>
  </cols>
  <sheetData>
    <row r="1" ht="24" customHeight="1" s="130">
      <c r="A1" s="152" t="inlineStr">
        <is>
          <t>ZARA &amp; CO. — SCENARIO ANALYSIS FY2025</t>
        </is>
      </c>
    </row>
    <row r="2" ht="28" customHeight="1" s="130">
      <c r="A2" s="151" t="inlineStr">
        <is>
          <t>Base = budget assumptions linked from model. Bull = optimistic inputs. Bear = conservative inputs. P&amp;L output in Section 2 recalculates automatically when you change Section 1 inputs.</t>
        </is>
      </c>
    </row>
    <row r="3" ht="8" customHeight="1" s="130"/>
    <row r="4" ht="18" customHeight="1" s="130">
      <c r="A4" s="153" t="inlineStr">
        <is>
          <t>SECTION 1 — ASSUMPTIONS</t>
        </is>
      </c>
    </row>
    <row r="5" ht="16" customHeight="1" s="130">
      <c r="A5" s="95" t="inlineStr">
        <is>
          <t>Assumption</t>
        </is>
      </c>
      <c r="B5" s="109" t="inlineStr">
        <is>
          <t>Base Case</t>
        </is>
      </c>
      <c r="C5" s="110" t="inlineStr">
        <is>
          <t>Bull Case</t>
        </is>
      </c>
      <c r="D5" s="111" t="inlineStr">
        <is>
          <t>Bear Case</t>
        </is>
      </c>
    </row>
    <row r="6" ht="17" customHeight="1" s="130">
      <c r="A6" s="103" t="inlineStr">
        <is>
          <t>Full-Year Revenue (AED)</t>
        </is>
      </c>
      <c r="B6" s="112">
        <f>'P&amp;L Summary'!O6</f>
        <v/>
      </c>
      <c r="C6" s="105">
        <f>$B$6+($B$6*C7)</f>
        <v/>
      </c>
      <c r="D6" s="113">
        <f>$B$6+($B$6*D7)</f>
        <v/>
      </c>
      <c r="F6" s="150" t="inlineStr">
        <is>
          <t>Link from P&amp;L Summary col O, row 6</t>
        </is>
      </c>
    </row>
    <row r="7" ht="17" customHeight="1" s="130">
      <c r="A7" s="103" t="inlineStr">
        <is>
          <t>Revenue Growth % vs Budget</t>
        </is>
      </c>
      <c r="B7" s="114" t="n">
        <v>0</v>
      </c>
      <c r="C7" s="115" t="n">
        <v>0.05</v>
      </c>
      <c r="D7" s="116" t="n">
        <v>-0.05</v>
      </c>
      <c r="F7" s="150" t="inlineStr">
        <is>
          <t>Base = 0%. Bull/Bear: type the growth adjustment.</t>
        </is>
      </c>
    </row>
    <row r="8" ht="17" customHeight="1" s="130">
      <c r="A8" s="103" t="inlineStr">
        <is>
          <t>Blended COGS % of Revenue</t>
        </is>
      </c>
      <c r="B8" s="114">
        <f>'P&amp;L Summary'!O7/'P&amp;L Summary'!O6</f>
        <v/>
      </c>
      <c r="C8" s="115" t="n">
        <v>0.42</v>
      </c>
      <c r="D8" s="116" t="n">
        <v>0.47</v>
      </c>
      <c r="F8" s="150" t="inlineStr">
        <is>
          <t>Base: derive from model. Bull = lower %, Bear = higher %.</t>
        </is>
      </c>
    </row>
    <row r="9" ht="17" customHeight="1" s="130">
      <c r="A9" s="103" t="inlineStr">
        <is>
          <t>Full-Year OpEx (AED)</t>
        </is>
      </c>
      <c r="B9" s="112">
        <f>'P&amp;L Summary'!O11</f>
        <v/>
      </c>
      <c r="C9" s="105">
        <f>$B$9+($B$9*C10)</f>
        <v/>
      </c>
      <c r="D9" s="113">
        <f>$B$9+($B$9*D10)</f>
        <v/>
      </c>
      <c r="F9" s="150" t="inlineStr">
        <is>
          <t>Link from P&amp;L Summary col O, row 11</t>
        </is>
      </c>
    </row>
    <row r="10" ht="17" customHeight="1" s="130">
      <c r="A10" s="103" t="inlineStr">
        <is>
          <t>OpEx Growth % vs Budget</t>
        </is>
      </c>
      <c r="B10" s="114" t="n">
        <v>0</v>
      </c>
      <c r="C10" s="115" t="n">
        <v>-0.02</v>
      </c>
      <c r="D10" s="116" t="n">
        <v>0.05</v>
      </c>
      <c r="F10" s="150" t="inlineStr">
        <is>
          <t>Base = 0%. Bull = cost savings. Bear = overspend.</t>
        </is>
      </c>
    </row>
    <row r="11" ht="8" customHeight="1" s="130"/>
    <row r="12" ht="18" customHeight="1" s="130">
      <c r="A12" s="153" t="inlineStr">
        <is>
          <t>SECTION 2 — P&amp;L OUTPUT (formula-driven from Section 1)</t>
        </is>
      </c>
    </row>
    <row r="13" ht="16" customHeight="1" s="130">
      <c r="A13" s="95" t="inlineStr">
        <is>
          <t>Line Item</t>
        </is>
      </c>
      <c r="B13" s="109" t="inlineStr">
        <is>
          <t>Base Case</t>
        </is>
      </c>
      <c r="C13" s="110" t="inlineStr">
        <is>
          <t>Bull Case</t>
        </is>
      </c>
      <c r="D13" s="111" t="inlineStr">
        <is>
          <t>Bear Case</t>
        </is>
      </c>
      <c r="F13" s="110" t="inlineStr">
        <is>
          <t>Bull vs Base ($)</t>
        </is>
      </c>
      <c r="G13" s="111" t="inlineStr">
        <is>
          <t>Bear vs Base ($)</t>
        </is>
      </c>
    </row>
    <row r="14" ht="17" customHeight="1" s="130">
      <c r="A14" s="99" t="inlineStr">
        <is>
          <t>Revenue</t>
        </is>
      </c>
      <c r="B14" s="156">
        <f>B6</f>
        <v/>
      </c>
      <c r="C14" s="157">
        <f>C6</f>
        <v/>
      </c>
      <c r="D14" s="118">
        <f>D6</f>
        <v/>
      </c>
      <c r="F14" s="101">
        <f>C14-B14</f>
        <v/>
      </c>
      <c r="G14" s="118">
        <f>D14-B14</f>
        <v/>
      </c>
    </row>
    <row r="15" ht="17" customHeight="1" s="130">
      <c r="A15" s="103" t="inlineStr">
        <is>
          <t>Less: COGS</t>
        </is>
      </c>
      <c r="B15" s="112">
        <f>B14*B8</f>
        <v/>
      </c>
      <c r="C15" s="105">
        <f>C14*C8</f>
        <v/>
      </c>
      <c r="D15" s="113">
        <f>D14*D8</f>
        <v/>
      </c>
      <c r="F15" s="101">
        <f>C15-B15</f>
        <v/>
      </c>
      <c r="G15" s="118">
        <f>D15-B15</f>
        <v/>
      </c>
    </row>
    <row r="16" ht="17" customHeight="1" s="130">
      <c r="A16" s="106" t="inlineStr">
        <is>
          <t>Gross Profit</t>
        </is>
      </c>
      <c r="B16" s="117">
        <f>B14-B15</f>
        <v/>
      </c>
      <c r="C16" s="101">
        <f>C14-C15</f>
        <v/>
      </c>
      <c r="D16" s="118">
        <f>D14-D15</f>
        <v/>
      </c>
      <c r="F16" s="101">
        <f>C16-B16</f>
        <v/>
      </c>
      <c r="G16" s="118">
        <f>D16-B16</f>
        <v/>
      </c>
    </row>
    <row r="17" ht="17" customHeight="1" s="130">
      <c r="A17" s="106" t="inlineStr">
        <is>
          <t>Gross Margin %</t>
        </is>
      </c>
      <c r="B17" s="119">
        <f>B16/B14</f>
        <v/>
      </c>
      <c r="C17" s="107">
        <f>C16/C14</f>
        <v/>
      </c>
      <c r="D17" s="120">
        <f>D16/D14</f>
        <v/>
      </c>
    </row>
    <row r="18" ht="6" customHeight="1" s="130"/>
    <row r="19" ht="17" customHeight="1" s="130">
      <c r="A19" s="103" t="inlineStr">
        <is>
          <t>Less: OpEx</t>
        </is>
      </c>
      <c r="B19" s="112">
        <f>B9</f>
        <v/>
      </c>
      <c r="C19" s="105">
        <f>C9</f>
        <v/>
      </c>
      <c r="D19" s="113">
        <f>D9</f>
        <v/>
      </c>
      <c r="F19" s="105">
        <f>C19-B19</f>
        <v/>
      </c>
      <c r="G19" s="113">
        <f>D19-B19</f>
        <v/>
      </c>
    </row>
    <row r="20" ht="17" customHeight="1" s="130">
      <c r="A20" s="106" t="inlineStr">
        <is>
          <t>Operating Profit</t>
        </is>
      </c>
      <c r="B20" s="117">
        <f>B16-B19</f>
        <v/>
      </c>
      <c r="C20" s="101">
        <f>C16-C19</f>
        <v/>
      </c>
      <c r="D20" s="118">
        <f>D16-D19</f>
        <v/>
      </c>
      <c r="F20" s="105">
        <f>C20-B20</f>
        <v/>
      </c>
      <c r="G20" s="113">
        <f>D20-B20</f>
        <v/>
      </c>
    </row>
    <row r="21" ht="17" customHeight="1" s="130">
      <c r="A21" s="106" t="inlineStr">
        <is>
          <t>Operating Margin %</t>
        </is>
      </c>
      <c r="B21" s="119">
        <f>B20/B14</f>
        <v/>
      </c>
      <c r="C21" s="107">
        <f>C20/C14</f>
        <v/>
      </c>
      <c r="D21" s="120">
        <f>D20/D14</f>
        <v/>
      </c>
    </row>
  </sheetData>
  <mergeCells count="9">
    <mergeCell ref="A1:G1"/>
    <mergeCell ref="F10:G10"/>
    <mergeCell ref="A12:G12"/>
    <mergeCell ref="A4:G4"/>
    <mergeCell ref="A2:G2"/>
    <mergeCell ref="F6:G6"/>
    <mergeCell ref="F9:G9"/>
    <mergeCell ref="F7:G7"/>
    <mergeCell ref="F8:G8"/>
  </mergeCells>
  <pageMargins left="0.75" right="0.75" top="1" bottom="1" header="0.5" footer="0.5"/>
</worksheet>
</file>

<file path=xl/worksheets/sheet9.xml><?xml version="1.0" encoding="utf-8"?>
<worksheet xmlns="http://schemas.openxmlformats.org/spreadsheetml/2006/main">
  <sheetPr>
    <tabColor rgb="FF00B050"/>
    <outlinePr summaryBelow="1" summaryRight="1"/>
    <pageSetUpPr/>
  </sheetPr>
  <dimension ref="A1:F29"/>
  <sheetViews>
    <sheetView tabSelected="1" zoomScale="125" workbookViewId="0">
      <pane xSplit="1" ySplit="10" topLeftCell="B11" activePane="bottomRight" state="frozen"/>
      <selection pane="topRight" activeCell="A1" sqref="A1"/>
      <selection pane="bottomLeft" activeCell="A1" sqref="A1"/>
      <selection pane="bottomRight" activeCell="F14" sqref="F14"/>
    </sheetView>
  </sheetViews>
  <sheetFormatPr baseColWidth="10" defaultColWidth="8.83203125" defaultRowHeight="15"/>
  <cols>
    <col width="24" customWidth="1" style="130" min="1" max="1"/>
    <col width="17" customWidth="1" style="130" min="2" max="3"/>
    <col width="14" customWidth="1" style="130" min="4" max="4"/>
    <col width="11" customWidth="1" style="130" min="5" max="6"/>
  </cols>
  <sheetData>
    <row r="1" ht="24" customHeight="1" s="130">
      <c r="A1" s="152" t="inlineStr">
        <is>
          <t>ZARA &amp; CO. — EXECUTIVE DASHBOARD FY2025</t>
        </is>
      </c>
    </row>
    <row r="2" ht="14" customHeight="1" s="130">
      <c r="A2" s="154" t="inlineStr">
        <is>
          <t>All cells are formulas — links from P&amp;L Summary (budget), Variance Analysis (Q1 actuals), Rolling Forecast (FY).</t>
        </is>
      </c>
    </row>
    <row r="3" ht="8" customHeight="1" s="130"/>
    <row r="4" ht="18" customHeight="1" s="130">
      <c r="A4" s="153" t="inlineStr">
        <is>
          <t>SECTION 1 — Q1 KEY METRICS</t>
        </is>
      </c>
    </row>
    <row r="5" ht="14" customHeight="1" s="130">
      <c r="B5" s="121" t="inlineStr">
        <is>
          <t>Q1 Revenue — Actual</t>
        </is>
      </c>
      <c r="C5" s="121" t="inlineStr">
        <is>
          <t>Q1 Operating Profit — Actual</t>
        </is>
      </c>
      <c r="D5" s="121" t="inlineStr">
        <is>
          <t>Q1 Operating Margin %</t>
        </is>
      </c>
      <c r="E5" s="121" t="inlineStr">
        <is>
          <t>Q1 EBITDA Margin %</t>
        </is>
      </c>
    </row>
    <row r="6" ht="32" customHeight="1" s="130">
      <c r="B6" s="122">
        <f>'Variance Analysis'!U7</f>
        <v/>
      </c>
      <c r="C6" s="122">
        <f>'Variance Analysis'!U13</f>
        <v/>
      </c>
      <c r="D6" s="123">
        <f>'Variance Analysis'!U10</f>
        <v/>
      </c>
      <c r="E6" s="123">
        <f>'Variance Analysis'!U14</f>
        <v/>
      </c>
    </row>
    <row r="7" ht="14" customHeight="1" s="130">
      <c r="B7" s="124" t="inlineStr">
        <is>
          <t>Source: ='Variance Analysis'!U7</t>
        </is>
      </c>
      <c r="C7" s="124" t="inlineStr">
        <is>
          <t>Source: ='Variance Analysis'!U13</t>
        </is>
      </c>
      <c r="D7" s="124" t="inlineStr">
        <is>
          <t>Source: ='Variance Analysis'!U13/'Variance Analysis'!U7</t>
        </is>
      </c>
      <c r="E7" s="124" t="inlineStr">
        <is>
          <t>Source: ='Variance Analysis'!U14</t>
        </is>
      </c>
    </row>
    <row r="8" ht="8" customHeight="1" s="130"/>
    <row r="9" ht="18" customHeight="1" s="130">
      <c r="A9" s="153" t="inlineStr">
        <is>
          <t>SECTION 2 — Q1 SCORECARD (Actual vs Budget)</t>
        </is>
      </c>
    </row>
    <row r="10" ht="14" customHeight="1" s="130">
      <c r="A10" s="95" t="inlineStr">
        <is>
          <t>Line Item</t>
        </is>
      </c>
      <c r="B10" s="109" t="inlineStr">
        <is>
          <t>Q1 Budget</t>
        </is>
      </c>
      <c r="C10" s="125" t="inlineStr">
        <is>
          <t>Q1 Actual</t>
        </is>
      </c>
      <c r="D10" s="110" t="inlineStr">
        <is>
          <t>$ Variance</t>
        </is>
      </c>
      <c r="E10" s="110" t="inlineStr">
        <is>
          <t>Fav/Unfav</t>
        </is>
      </c>
      <c r="F10" s="110" t="inlineStr">
        <is>
          <t>% Variance</t>
        </is>
      </c>
    </row>
    <row r="11" ht="17" customHeight="1" s="130">
      <c r="A11" s="99" t="inlineStr">
        <is>
          <t>Revenue</t>
        </is>
      </c>
      <c r="B11" s="117">
        <f>'Variance Analysis'!T7</f>
        <v/>
      </c>
      <c r="C11" s="100">
        <f>'Variance Analysis'!U7</f>
        <v/>
      </c>
      <c r="D11" s="101">
        <f>'Variance Analysis'!V7</f>
        <v/>
      </c>
      <c r="E11" s="126">
        <f>'Variance Analysis'!W7</f>
        <v/>
      </c>
      <c r="F11" s="107">
        <f>'Variance Analysis'!X7</f>
        <v/>
      </c>
    </row>
    <row r="12" ht="17" customHeight="1" s="130">
      <c r="A12" s="103" t="inlineStr">
        <is>
          <t>Less: COGS</t>
        </is>
      </c>
      <c r="B12" s="112">
        <f>'Variance Analysis'!T8</f>
        <v/>
      </c>
      <c r="C12" s="104">
        <f>'Variance Analysis'!U8</f>
        <v/>
      </c>
      <c r="D12" s="105">
        <f>'Variance Analysis'!V8</f>
        <v/>
      </c>
      <c r="E12" s="127">
        <f>'Variance Analysis'!W8</f>
        <v/>
      </c>
      <c r="F12" s="115">
        <f>'Variance Analysis'!X8</f>
        <v/>
      </c>
    </row>
    <row r="13" ht="17" customHeight="1" s="130">
      <c r="A13" s="106" t="inlineStr">
        <is>
          <t>Gross Profit</t>
        </is>
      </c>
      <c r="B13" s="117">
        <f>'Variance Analysis'!T9</f>
        <v/>
      </c>
      <c r="C13" s="100">
        <f>'Variance Analysis'!U9</f>
        <v/>
      </c>
      <c r="D13" s="101">
        <f>'Variance Analysis'!V9</f>
        <v/>
      </c>
      <c r="E13" s="126">
        <f>'Variance Analysis'!W9</f>
        <v/>
      </c>
      <c r="F13" s="107">
        <f>'Variance Analysis'!X9</f>
        <v/>
      </c>
    </row>
    <row r="14" ht="17" customHeight="1" s="130">
      <c r="A14" s="106" t="inlineStr">
        <is>
          <t>Gross Margin %</t>
        </is>
      </c>
      <c r="B14" s="119">
        <f>'Variance Analysis'!T10</f>
        <v/>
      </c>
      <c r="C14" s="128">
        <f>'Variance Analysis'!U10</f>
        <v/>
      </c>
      <c r="D14" s="158">
        <f>'Variance Analysis'!V10</f>
        <v/>
      </c>
      <c r="E14" s="126">
        <f>'Variance Analysis'!W10</f>
        <v/>
      </c>
      <c r="F14" s="107">
        <f>'Variance Analysis'!X10</f>
        <v/>
      </c>
    </row>
    <row r="15" ht="6" customHeight="1" s="130"/>
    <row r="16" ht="17" customHeight="1" s="130">
      <c r="A16" s="103" t="inlineStr">
        <is>
          <t>Less: OpEx</t>
        </is>
      </c>
      <c r="B16" s="112">
        <f>'Variance Analysis'!T12</f>
        <v/>
      </c>
      <c r="C16" s="104">
        <f>'Variance Analysis'!U12</f>
        <v/>
      </c>
      <c r="D16" s="105">
        <f>'Variance Analysis'!V12</f>
        <v/>
      </c>
      <c r="E16" s="127">
        <f>'Variance Analysis'!W12</f>
        <v/>
      </c>
      <c r="F16" s="115">
        <f>'Variance Analysis'!X12</f>
        <v/>
      </c>
    </row>
    <row r="17" ht="17" customHeight="1" s="130">
      <c r="A17" s="106" t="inlineStr">
        <is>
          <t>Operating Profit</t>
        </is>
      </c>
      <c r="B17" s="117">
        <f>'Variance Analysis'!T13</f>
        <v/>
      </c>
      <c r="C17" s="100">
        <f>'Variance Analysis'!U13</f>
        <v/>
      </c>
      <c r="D17" s="101">
        <f>'Variance Analysis'!V13</f>
        <v/>
      </c>
      <c r="E17" s="126">
        <f>'Variance Analysis'!W13</f>
        <v/>
      </c>
      <c r="F17" s="107">
        <f>'Variance Analysis'!X13</f>
        <v/>
      </c>
    </row>
    <row r="18" ht="17" customHeight="1" s="130">
      <c r="A18" s="106" t="inlineStr">
        <is>
          <t>Operating Margin %</t>
        </is>
      </c>
      <c r="B18" s="119">
        <f>'Variance Analysis'!T14</f>
        <v/>
      </c>
      <c r="C18" s="128">
        <f>'Variance Analysis'!U14</f>
        <v/>
      </c>
      <c r="D18" s="158">
        <f>'Variance Analysis'!V14</f>
        <v/>
      </c>
      <c r="E18" s="126">
        <f>'Variance Analysis'!W14</f>
        <v/>
      </c>
      <c r="F18" s="107">
        <f>'Variance Analysis'!X14</f>
        <v/>
      </c>
    </row>
    <row r="19" ht="8" customHeight="1" s="130"/>
    <row r="20" ht="18" customHeight="1" s="130">
      <c r="A20" s="153" t="inlineStr">
        <is>
          <t>SECTION 3 — FULL YEAR OUTLOOK (Budget vs Rolling Forecast)</t>
        </is>
      </c>
    </row>
    <row r="21" ht="14" customHeight="1" s="130">
      <c r="A21" s="95" t="inlineStr">
        <is>
          <t>Line Item</t>
        </is>
      </c>
      <c r="B21" s="109" t="inlineStr">
        <is>
          <t>FY2025 Budget</t>
        </is>
      </c>
      <c r="C21" s="110" t="inlineStr">
        <is>
          <t>Rolling Forecast</t>
        </is>
      </c>
      <c r="D21" s="110" t="inlineStr">
        <is>
          <t>$ Variance</t>
        </is>
      </c>
      <c r="E21" s="110" t="inlineStr">
        <is>
          <t>Fav/Unfav</t>
        </is>
      </c>
      <c r="F21" s="110" t="inlineStr">
        <is>
          <t>% Variance</t>
        </is>
      </c>
    </row>
    <row r="22" ht="17" customHeight="1" s="130">
      <c r="A22" s="99" t="inlineStr">
        <is>
          <t>Revenue</t>
        </is>
      </c>
      <c r="B22" s="117">
        <f>'P&amp;L Summary'!O6</f>
        <v/>
      </c>
      <c r="C22" s="101">
        <f>'Rolling Forecast'!N7</f>
        <v/>
      </c>
      <c r="D22" s="101">
        <f>C22-B22</f>
        <v/>
      </c>
      <c r="E22" s="85">
        <f>IF(D22&lt;0,"Unfav","Fav")</f>
        <v/>
      </c>
      <c r="F22" s="107">
        <f>D22/B22</f>
        <v/>
      </c>
    </row>
    <row r="23" ht="17" customHeight="1" s="130">
      <c r="A23" s="103" t="inlineStr">
        <is>
          <t>Less: COGS</t>
        </is>
      </c>
      <c r="B23" s="112">
        <f>'P&amp;L Summary'!O7</f>
        <v/>
      </c>
      <c r="C23" s="105">
        <f>'Rolling Forecast'!N8</f>
        <v/>
      </c>
      <c r="D23" s="105">
        <f>C23-B23</f>
        <v/>
      </c>
      <c r="E23" s="85">
        <f>IF(D23&gt;0,"Unfav","Fav")</f>
        <v/>
      </c>
      <c r="F23" s="107">
        <f>D23/B23</f>
        <v/>
      </c>
    </row>
    <row r="24" ht="17" customHeight="1" s="130">
      <c r="A24" s="106" t="inlineStr">
        <is>
          <t>Gross Profit</t>
        </is>
      </c>
      <c r="B24" s="117">
        <f>'P&amp;L Summary'!O8</f>
        <v/>
      </c>
      <c r="C24" s="101">
        <f>'Rolling Forecast'!N9</f>
        <v/>
      </c>
      <c r="D24" s="101">
        <f>C24-B24</f>
        <v/>
      </c>
      <c r="E24" s="85">
        <f>IF(D24&lt;0,"Unfav","Fav")</f>
        <v/>
      </c>
      <c r="F24" s="107">
        <f>D24/B24</f>
        <v/>
      </c>
    </row>
    <row r="25" ht="17" customHeight="1" s="130">
      <c r="A25" s="106" t="inlineStr">
        <is>
          <t>Gross Margin %</t>
        </is>
      </c>
      <c r="B25" s="119">
        <f>'P&amp;L Summary'!O9</f>
        <v/>
      </c>
      <c r="C25" s="107">
        <f>'Rolling Forecast'!N10</f>
        <v/>
      </c>
      <c r="D25" s="158">
        <f>C25-B25</f>
        <v/>
      </c>
      <c r="E25" s="85">
        <f>IF(D25&lt;0,"Unfav","Fav")</f>
        <v/>
      </c>
      <c r="F25" s="107">
        <f>D25/B25</f>
        <v/>
      </c>
    </row>
    <row r="26" ht="6" customHeight="1" s="130"/>
    <row r="27" ht="17" customHeight="1" s="130">
      <c r="A27" s="103" t="inlineStr">
        <is>
          <t>Less: OpEx</t>
        </is>
      </c>
      <c r="B27" s="112">
        <f>'P&amp;L Summary'!O11</f>
        <v/>
      </c>
      <c r="C27" s="105">
        <f>'Rolling Forecast'!N12</f>
        <v/>
      </c>
      <c r="D27" s="105">
        <f>C27-B27</f>
        <v/>
      </c>
      <c r="E27" s="85">
        <f>IF(D27&gt;0,"Unfav","Fav")</f>
        <v/>
      </c>
      <c r="F27" s="115">
        <f>D27/B27</f>
        <v/>
      </c>
    </row>
    <row r="28" ht="17" customHeight="1" s="130">
      <c r="A28" s="106" t="inlineStr">
        <is>
          <t>Operating Profit</t>
        </is>
      </c>
      <c r="B28" s="117">
        <f>'P&amp;L Summary'!O12</f>
        <v/>
      </c>
      <c r="C28" s="101">
        <f>'Rolling Forecast'!N13</f>
        <v/>
      </c>
      <c r="D28" s="101">
        <f>C28-B28</f>
        <v/>
      </c>
      <c r="E28" s="85">
        <f>IF(D28&lt;0,"Unfav","Fav")</f>
        <v/>
      </c>
      <c r="F28" s="115">
        <f>D28/B28</f>
        <v/>
      </c>
    </row>
    <row r="29" ht="17" customHeight="1" s="130">
      <c r="A29" s="106" t="inlineStr">
        <is>
          <t>Operating Margin %</t>
        </is>
      </c>
      <c r="B29" s="119">
        <f>'P&amp;L Summary'!O13</f>
        <v/>
      </c>
      <c r="C29" s="107">
        <f>'Rolling Forecast'!N14</f>
        <v/>
      </c>
      <c r="D29" s="158">
        <f>C29-B29</f>
        <v/>
      </c>
      <c r="E29" s="85">
        <f>IF(D29&lt;0,"Unfav","Fav")</f>
        <v/>
      </c>
      <c r="F29" s="115">
        <f>D29/B29</f>
        <v/>
      </c>
    </row>
  </sheetData>
  <mergeCells count="5">
    <mergeCell ref="A2:F2"/>
    <mergeCell ref="A1:F1"/>
    <mergeCell ref="A9:F9"/>
    <mergeCell ref="A4:F4"/>
    <mergeCell ref="A20:F20"/>
  </mergeCells>
  <conditionalFormatting sqref="E22:E25 E27:E29">
    <cfRule type="expression" priority="1" dxfId="1">
      <formula>XEL17="Unfav"</formula>
    </cfRule>
    <cfRule type="expression" priority="2" dxfId="0">
      <formula>XEL17="Fav"</formula>
    </cfRule>
    <cfRule type="containsText" priority="3" operator="containsText" dxfId="1" text="Unfav">
      <formula>NOT(ISERROR(SEARCH("Unfav",E22)))</formula>
    </cfRule>
  </conditionalFormatting>
  <conditionalFormatting sqref="E22">
    <cfRule type="containsText" priority="5" operator="containsText" dxfId="0" text="Fav">
      <formula>NOT(ISERROR(SEARCH("Fav",E22)))</formula>
    </cfRule>
  </conditionalFormatting>
  <conditionalFormatting sqref="E23:E25 E27:E29">
    <cfRule type="containsText" priority="4" operator="containsText" dxfId="0" stopIfTrue="1" text="Fav">
      <formula>NOT(ISERROR(SEARCH("Fav",E23)))</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2026-08-24T20:40:40Z</dcterms:created>
  <dcterms:modified xmlns:dcterms="http://purl.org/dc/terms/" xmlns:xsi="http://www.w3.org/2001/XMLSchema-instance" xsi:type="dcterms:W3CDTF">2026-08-30T20:39:55Z</dcterms:modified>
  <cp:lastModifiedBy>Muhammed Ashnad K</cp:lastModifiedBy>
</cp:coreProperties>
</file>