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ashnad/my_career/learning/phase2a_excel/"/>
    </mc:Choice>
  </mc:AlternateContent>
  <xr:revisionPtr revIDLastSave="0" documentId="13_ncr:1_{ADFCB28F-5425-544D-9978-6807866D48A5}" xr6:coauthVersionLast="47" xr6:coauthVersionMax="47" xr10:uidLastSave="{00000000-0000-0000-0000-000000000000}"/>
  <bookViews>
    <workbookView xWindow="0" yWindow="600" windowWidth="28800" windowHeight="17400" xr2:uid="{00000000-000D-0000-FFFF-FFFF00000000}"/>
  </bookViews>
  <sheets>
    <sheet name="Transactions" sheetId="1" r:id="rId1"/>
    <sheet name="Employee List" sheetId="2" r:id="rId2"/>
    <sheet name="Exercis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1" l="1"/>
  <c r="E31" i="1"/>
  <c r="E30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5" i="1"/>
  <c r="B12" i="3"/>
  <c r="B9" i="3"/>
  <c r="B5" i="3"/>
</calcChain>
</file>

<file path=xl/sharedStrings.xml><?xml version="1.0" encoding="utf-8"?>
<sst xmlns="http://schemas.openxmlformats.org/spreadsheetml/2006/main" count="133" uniqueCount="84">
  <si>
    <t>VLOOKUP Exercise — Transactions</t>
  </si>
  <si>
    <t>Task: Use VLOOKUP to fill in columns D, E, F from the 'Employee List' sheet.</t>
  </si>
  <si>
    <t>← Fill these 3 columns using VLOOKUP from Employee List sheet</t>
  </si>
  <si>
    <t>Emp ID</t>
  </si>
  <si>
    <t>Transaction Date</t>
  </si>
  <si>
    <t>Amount (AED)</t>
  </si>
  <si>
    <t>Employee Name</t>
  </si>
  <si>
    <t>Department</t>
  </si>
  <si>
    <t>Grade</t>
  </si>
  <si>
    <t>E003</t>
  </si>
  <si>
    <t>2026-01-05</t>
  </si>
  <si>
    <t>E007</t>
  </si>
  <si>
    <t>2026-01-12</t>
  </si>
  <si>
    <t>E001</t>
  </si>
  <si>
    <t>2026-01-18</t>
  </si>
  <si>
    <t>E009</t>
  </si>
  <si>
    <t>2026-01-25</t>
  </si>
  <si>
    <t>E005</t>
  </si>
  <si>
    <t>2026-02-03</t>
  </si>
  <si>
    <t>E002</t>
  </si>
  <si>
    <t>2026-02-09</t>
  </si>
  <si>
    <t>E008</t>
  </si>
  <si>
    <t>2026-02-14</t>
  </si>
  <si>
    <t>E004</t>
  </si>
  <si>
    <t>2026-02-21</t>
  </si>
  <si>
    <t>E006</t>
  </si>
  <si>
    <t>2026-02-28</t>
  </si>
  <si>
    <t>E010</t>
  </si>
  <si>
    <t>2026-03-04</t>
  </si>
  <si>
    <t>2026-03-11</t>
  </si>
  <si>
    <t>2026-03-17</t>
  </si>
  <si>
    <t>2026-03-24</t>
  </si>
  <si>
    <t>2026-03-30</t>
  </si>
  <si>
    <t>2026-04-06</t>
  </si>
  <si>
    <t>2026-04-13</t>
  </si>
  <si>
    <t>2026-04-19</t>
  </si>
  <si>
    <t>2026-04-26</t>
  </si>
  <si>
    <t>2026-05-03</t>
  </si>
  <si>
    <t>2026-05-10</t>
  </si>
  <si>
    <t>2026-05-17</t>
  </si>
  <si>
    <t>2026-05-24</t>
  </si>
  <si>
    <t>2026-05-31</t>
  </si>
  <si>
    <t>LOOKUP TABLE — Do not edit this sheet</t>
  </si>
  <si>
    <t>Manager</t>
  </si>
  <si>
    <t>Ahmed Al Mansoori</t>
  </si>
  <si>
    <t>Finance</t>
  </si>
  <si>
    <t>Analyst</t>
  </si>
  <si>
    <t>Fatima Rashid</t>
  </si>
  <si>
    <t>Sara Khalid</t>
  </si>
  <si>
    <t>Operations</t>
  </si>
  <si>
    <t>Senior Analyst</t>
  </si>
  <si>
    <t>Khalid Hamdan</t>
  </si>
  <si>
    <t>Priya Nair</t>
  </si>
  <si>
    <t>James Okafor</t>
  </si>
  <si>
    <t>Commercial</t>
  </si>
  <si>
    <t>Omar Saeed</t>
  </si>
  <si>
    <t>Rania Hosseini</t>
  </si>
  <si>
    <t>Associate</t>
  </si>
  <si>
    <t>Mohammed Al Zaabi</t>
  </si>
  <si>
    <t>Divya Sharma</t>
  </si>
  <si>
    <t>Carlos Mendez</t>
  </si>
  <si>
    <t>Aisha Butti</t>
  </si>
  <si>
    <t>Thomas Wright</t>
  </si>
  <si>
    <t>VLOOKUP EXERCISES</t>
  </si>
  <si>
    <t>Answer each question with a VLOOKUP formula. Data is on 'Employee List' and 'Transactions' sheets.</t>
  </si>
  <si>
    <t>EXERCISE 1 — Simple VLOOKUP (1 lookup)</t>
  </si>
  <si>
    <t>What is the Department of employee E004?</t>
  </si>
  <si>
    <t>Hint: Look up E004 in the Employee List. Return column 3.</t>
  </si>
  <si>
    <t>Answer (check with Claude): =VLOOKUP("E004",'Employee List'!A:E,3,FALSE)</t>
  </si>
  <si>
    <t>EXERCISE 2 — Different column</t>
  </si>
  <si>
    <t>What is the Grade of employee E007?</t>
  </si>
  <si>
    <t>Hint: Same structure — change the column index number.</t>
  </si>
  <si>
    <t>Answer (check with Claude): =VLOOKUP("E007",'Employee List'!A:E,4,FALSE)</t>
  </si>
  <si>
    <t>In cell B12, write a VLOOKUP that finds the Name of whoever is in cell A12.
Type 'E002' into A12 first.</t>
  </si>
  <si>
    <t>Hint: Use A12 as the lookup_value instead of typing the ID in quotes.</t>
  </si>
  <si>
    <t>Answer (check with Claude): =VLOOKUP(A12,'Employee List'!A:E,2,FALSE)</t>
  </si>
  <si>
    <t>EXERCISE 4 — Fill down (the real FP&amp;A use case)</t>
  </si>
  <si>
    <t>Go to the Transactions sheet. In cell D5, write a VLOOKUP to pull the Employee Name.
Then copy it down to D27. Lock the table range with $ signs.</t>
  </si>
  <si>
    <t>Hint: Lock the table_array with $A:$E so it doesn't shift when you copy down.</t>
  </si>
  <si>
    <t>Answer (check with Claude): =VLOOKUP(A5,'Employee List'!$A:$E,2,FALSE)</t>
  </si>
  <si>
    <t>EXERCISE 5 — No hints. Write from memory.</t>
  </si>
  <si>
    <t>Still on Transactions sheet: write VLOOKUP in E5 to pull Department.
Copy down to E27.</t>
  </si>
  <si>
    <t>Hint: No hints — write it yourself, then check.</t>
  </si>
  <si>
    <t>Answer (check with Claude): =VLOOKUP(A5,'Employee List'!$A:$E,3,FALSE)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</si>
</sst>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3"/>
      <color rgb="FF1E3A5F"/>
      <name val="Calibri"/>
      <family val="2"/>
    </font>
    <font>
      <i/>
      <sz val="9"/>
      <color rgb="FF666666"/>
      <name val="Calibri"/>
      <family val="2"/>
    </font>
    <font>
      <b/>
      <sz val="10"/>
      <color rgb="FFFFFFFF"/>
      <name val="Calibri"/>
      <family val="2"/>
    </font>
    <font>
      <i/>
      <sz val="9"/>
      <color rgb="FF2E7D32"/>
      <name val="Calibri"/>
      <family val="2"/>
    </font>
    <font>
      <i/>
      <sz val="9"/>
      <color rgb="FFAAAAAA"/>
      <name val="Calibri"/>
      <family val="2"/>
    </font>
    <font>
      <b/>
      <sz val="11"/>
      <color rgb="FFCC0000"/>
      <name val="Calibri"/>
      <family val="2"/>
    </font>
    <font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2E7D32"/>
      </patternFill>
    </fill>
    <fill>
      <patternFill patternType="solid">
        <fgColor rgb="FFFFF9C4"/>
      </patternFill>
    </fill>
    <fill>
      <patternFill patternType="solid">
        <fgColor rgb="FFEEF2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3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3" fontId="0" fillId="0" borderId="0" xfId="0" applyNumberFormat="1"/>
    <xf numFmtId="0" fontId="5" fillId="4" borderId="0" xfId="0" applyFont="1" applyFill="1"/>
    <xf numFmtId="0" fontId="0" fillId="5" borderId="0" xfId="0" applyFill="1"/>
    <xf numFmtId="3" fontId="0" fillId="5" borderId="0" xfId="0" applyNumberFormat="1" applyFill="1"/>
    <xf numFmtId="0" fontId="6" fillId="0" borderId="0" xfId="0" applyFont="1"/>
    <xf numFmtId="0" fontId="3" fillId="2" borderId="0" xfId="0" applyFont="1" applyFill="1"/>
    <xf numFmtId="0" fontId="7" fillId="0" borderId="0" xfId="0" applyFont="1"/>
    <xf numFmtId="0" fontId="5" fillId="0" borderId="0" xfId="0" applyFont="1"/>
    <xf numFmtId="0" fontId="7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"/>
  <sheetViews>
    <sheetView tabSelected="1" workbookViewId="0">
      <selection activeCell="F31" sqref="F31"/>
    </sheetView>
  </sheetViews>
  <sheetFormatPr baseColWidth="10" defaultColWidth="8.83203125" defaultRowHeight="15" x14ac:dyDescent="0.2"/>
  <cols>
    <col min="1" max="1" width="10" customWidth="1"/>
    <col min="2" max="3" width="16" customWidth="1"/>
    <col min="4" max="4" width="22" customWidth="1"/>
    <col min="5" max="5" width="16" customWidth="1"/>
    <col min="6" max="6" width="10" customWidth="1"/>
  </cols>
  <sheetData>
    <row r="1" spans="1:6" ht="17" x14ac:dyDescent="0.2">
      <c r="A1" s="1" t="s">
        <v>0</v>
      </c>
    </row>
    <row r="2" spans="1:6" x14ac:dyDescent="0.2">
      <c r="A2" s="2" t="s">
        <v>1</v>
      </c>
    </row>
    <row r="3" spans="1:6" x14ac:dyDescent="0.2">
      <c r="D3" s="3" t="s">
        <v>2</v>
      </c>
    </row>
    <row r="4" spans="1:6" x14ac:dyDescent="0.2">
      <c r="A4" s="4" t="s">
        <v>3</v>
      </c>
      <c r="B4" s="4" t="s">
        <v>4</v>
      </c>
      <c r="C4" s="4" t="s">
        <v>5</v>
      </c>
      <c r="D4" s="5" t="s">
        <v>6</v>
      </c>
      <c r="E4" s="5" t="s">
        <v>7</v>
      </c>
      <c r="F4" s="5" t="s">
        <v>8</v>
      </c>
    </row>
    <row r="5" spans="1:6" x14ac:dyDescent="0.2">
      <c r="A5" t="s">
        <v>9</v>
      </c>
      <c r="B5" t="s">
        <v>10</v>
      </c>
      <c r="C5" s="6">
        <v>8400</v>
      </c>
      <c r="D5" s="7" t="str">
        <f>VLOOKUP(A5,'Employee List'!$A$4:$E$13,2,FALSE)</f>
        <v>Priya Nair</v>
      </c>
      <c r="E5" s="7" t="str">
        <f>VLOOKUP(A5,'Employee List'!$A$4:$E$13,3,FALSE)</f>
        <v>Finance</v>
      </c>
      <c r="F5" s="7" t="str">
        <f>VLOOKUP(A5,'Employee List'!$A$4:$E$13,4,FALSE)</f>
        <v>Analyst</v>
      </c>
    </row>
    <row r="6" spans="1:6" x14ac:dyDescent="0.2">
      <c r="A6" s="8" t="s">
        <v>11</v>
      </c>
      <c r="B6" s="8" t="s">
        <v>12</v>
      </c>
      <c r="C6" s="9">
        <v>15200</v>
      </c>
      <c r="D6" s="7" t="str">
        <f>VLOOKUP(A6,'Employee List'!$A$4:$E$13,2,FALSE)</f>
        <v>Divya Sharma</v>
      </c>
      <c r="E6" s="7" t="str">
        <f>VLOOKUP(A6,'Employee List'!$A$4:$E$13,3,FALSE)</f>
        <v>Commercial</v>
      </c>
      <c r="F6" s="7" t="str">
        <f>VLOOKUP(A6,'Employee List'!$A$4:$E$13,4,FALSE)</f>
        <v>Senior Analyst</v>
      </c>
    </row>
    <row r="7" spans="1:6" x14ac:dyDescent="0.2">
      <c r="A7" t="s">
        <v>13</v>
      </c>
      <c r="B7" t="s">
        <v>14</v>
      </c>
      <c r="C7" s="6">
        <v>22700</v>
      </c>
      <c r="D7" s="7" t="str">
        <f>VLOOKUP(A7,'Employee List'!$A$4:$E$13,2,FALSE)</f>
        <v>Ahmed Al Mansoori</v>
      </c>
      <c r="E7" s="7" t="str">
        <f>VLOOKUP(A7,'Employee List'!$A$4:$E$13,3,FALSE)</f>
        <v>Finance</v>
      </c>
      <c r="F7" s="7" t="str">
        <f>VLOOKUP(A7,'Employee List'!$A$4:$E$13,4,FALSE)</f>
        <v>Analyst</v>
      </c>
    </row>
    <row r="8" spans="1:6" x14ac:dyDescent="0.2">
      <c r="A8" s="8" t="s">
        <v>15</v>
      </c>
      <c r="B8" s="8" t="s">
        <v>16</v>
      </c>
      <c r="C8" s="9">
        <v>6300</v>
      </c>
      <c r="D8" s="7" t="str">
        <f>VLOOKUP(A8,'Employee List'!$A$4:$E$13,2,FALSE)</f>
        <v>Aisha Butti</v>
      </c>
      <c r="E8" s="7" t="str">
        <f>VLOOKUP(A8,'Employee List'!$A$4:$E$13,3,FALSE)</f>
        <v>Operations</v>
      </c>
      <c r="F8" s="7" t="str">
        <f>VLOOKUP(A8,'Employee List'!$A$4:$E$13,4,FALSE)</f>
        <v>Manager</v>
      </c>
    </row>
    <row r="9" spans="1:6" x14ac:dyDescent="0.2">
      <c r="A9" t="s">
        <v>17</v>
      </c>
      <c r="B9" t="s">
        <v>18</v>
      </c>
      <c r="C9" s="6">
        <v>11800</v>
      </c>
      <c r="D9" s="7" t="str">
        <f>VLOOKUP(A9,'Employee List'!$A$4:$E$13,2,FALSE)</f>
        <v>Rania Hosseini</v>
      </c>
      <c r="E9" s="7" t="str">
        <f>VLOOKUP(A9,'Employee List'!$A$4:$E$13,3,FALSE)</f>
        <v>Finance</v>
      </c>
      <c r="F9" s="7" t="str">
        <f>VLOOKUP(A9,'Employee List'!$A$4:$E$13,4,FALSE)</f>
        <v>Associate</v>
      </c>
    </row>
    <row r="10" spans="1:6" x14ac:dyDescent="0.2">
      <c r="A10" s="8" t="s">
        <v>19</v>
      </c>
      <c r="B10" s="8" t="s">
        <v>20</v>
      </c>
      <c r="C10" s="9">
        <v>19400</v>
      </c>
      <c r="D10" s="7" t="str">
        <f>VLOOKUP(A10,'Employee List'!$A$4:$E$13,2,FALSE)</f>
        <v>Sara Khalid</v>
      </c>
      <c r="E10" s="7" t="str">
        <f>VLOOKUP(A10,'Employee List'!$A$4:$E$13,3,FALSE)</f>
        <v>Operations</v>
      </c>
      <c r="F10" s="7" t="str">
        <f>VLOOKUP(A10,'Employee List'!$A$4:$E$13,4,FALSE)</f>
        <v>Senior Analyst</v>
      </c>
    </row>
    <row r="11" spans="1:6" x14ac:dyDescent="0.2">
      <c r="A11" t="s">
        <v>21</v>
      </c>
      <c r="B11" t="s">
        <v>22</v>
      </c>
      <c r="C11" s="6">
        <v>7600</v>
      </c>
      <c r="D11" s="7" t="str">
        <f>VLOOKUP(A11,'Employee List'!$A$4:$E$13,2,FALSE)</f>
        <v>Carlos Mendez</v>
      </c>
      <c r="E11" s="7" t="str">
        <f>VLOOKUP(A11,'Employee List'!$A$4:$E$13,3,FALSE)</f>
        <v>Finance</v>
      </c>
      <c r="F11" s="7" t="str">
        <f>VLOOKUP(A11,'Employee List'!$A$4:$E$13,4,FALSE)</f>
        <v>Associate</v>
      </c>
    </row>
    <row r="12" spans="1:6" x14ac:dyDescent="0.2">
      <c r="A12" s="8" t="s">
        <v>23</v>
      </c>
      <c r="B12" s="8" t="s">
        <v>24</v>
      </c>
      <c r="C12" s="9">
        <v>31200</v>
      </c>
      <c r="D12" s="7" t="str">
        <f>VLOOKUP(A12,'Employee List'!$A$4:$E$13,2,FALSE)</f>
        <v>James Okafor</v>
      </c>
      <c r="E12" s="7" t="str">
        <f>VLOOKUP(A12,'Employee List'!$A$4:$E$13,3,FALSE)</f>
        <v>Commercial</v>
      </c>
      <c r="F12" s="7" t="str">
        <f>VLOOKUP(A12,'Employee List'!$A$4:$E$13,4,FALSE)</f>
        <v>Manager</v>
      </c>
    </row>
    <row r="13" spans="1:6" x14ac:dyDescent="0.2">
      <c r="A13" t="s">
        <v>25</v>
      </c>
      <c r="B13" t="s">
        <v>26</v>
      </c>
      <c r="C13" s="6">
        <v>9900</v>
      </c>
      <c r="D13" s="7" t="str">
        <f>VLOOKUP(A13,'Employee List'!$A$4:$E$13,2,FALSE)</f>
        <v>Mohammed Al Zaabi</v>
      </c>
      <c r="E13" s="7" t="str">
        <f>VLOOKUP(A13,'Employee List'!$A$4:$E$13,3,FALSE)</f>
        <v>Operations</v>
      </c>
      <c r="F13" s="7" t="str">
        <f>VLOOKUP(A13,'Employee List'!$A$4:$E$13,4,FALSE)</f>
        <v>Analyst</v>
      </c>
    </row>
    <row r="14" spans="1:6" x14ac:dyDescent="0.2">
      <c r="A14" s="8" t="s">
        <v>27</v>
      </c>
      <c r="B14" s="8" t="s">
        <v>28</v>
      </c>
      <c r="C14" s="9">
        <v>14500</v>
      </c>
      <c r="D14" s="7" t="str">
        <f>VLOOKUP(A14,'Employee List'!$A$4:$E$13,2,FALSE)</f>
        <v>Thomas Wright</v>
      </c>
      <c r="E14" s="7" t="str">
        <f>VLOOKUP(A14,'Employee List'!$A$4:$E$13,3,FALSE)</f>
        <v>Commercial</v>
      </c>
      <c r="F14" s="7" t="str">
        <f>VLOOKUP(A14,'Employee List'!$A$4:$E$13,4,FALSE)</f>
        <v>Analyst</v>
      </c>
    </row>
    <row r="15" spans="1:6" x14ac:dyDescent="0.2">
      <c r="A15" t="s">
        <v>13</v>
      </c>
      <c r="B15" t="s">
        <v>29</v>
      </c>
      <c r="C15" s="6">
        <v>25300</v>
      </c>
      <c r="D15" s="7" t="str">
        <f>VLOOKUP(A15,'Employee List'!$A$4:$E$13,2,FALSE)</f>
        <v>Ahmed Al Mansoori</v>
      </c>
      <c r="E15" s="7" t="str">
        <f>VLOOKUP(A15,'Employee List'!$A$4:$E$13,3,FALSE)</f>
        <v>Finance</v>
      </c>
      <c r="F15" s="7" t="str">
        <f>VLOOKUP(A15,'Employee List'!$A$4:$E$13,4,FALSE)</f>
        <v>Analyst</v>
      </c>
    </row>
    <row r="16" spans="1:6" x14ac:dyDescent="0.2">
      <c r="A16" s="8" t="s">
        <v>9</v>
      </c>
      <c r="B16" s="8" t="s">
        <v>30</v>
      </c>
      <c r="C16" s="9">
        <v>8100</v>
      </c>
      <c r="D16" s="7" t="str">
        <f>VLOOKUP(A16,'Employee List'!$A$4:$E$13,2,FALSE)</f>
        <v>Priya Nair</v>
      </c>
      <c r="E16" s="7" t="str">
        <f>VLOOKUP(A16,'Employee List'!$A$4:$E$13,3,FALSE)</f>
        <v>Finance</v>
      </c>
      <c r="F16" s="7" t="str">
        <f>VLOOKUP(A16,'Employee List'!$A$4:$E$13,4,FALSE)</f>
        <v>Analyst</v>
      </c>
    </row>
    <row r="17" spans="1:6" x14ac:dyDescent="0.2">
      <c r="A17" t="s">
        <v>11</v>
      </c>
      <c r="B17" t="s">
        <v>31</v>
      </c>
      <c r="C17" s="6">
        <v>17800</v>
      </c>
      <c r="D17" s="7" t="str">
        <f>VLOOKUP(A17,'Employee List'!$A$4:$E$13,2,FALSE)</f>
        <v>Divya Sharma</v>
      </c>
      <c r="E17" s="7" t="str">
        <f>VLOOKUP(A17,'Employee List'!$A$4:$E$13,3,FALSE)</f>
        <v>Commercial</v>
      </c>
      <c r="F17" s="7" t="str">
        <f>VLOOKUP(A17,'Employee List'!$A$4:$E$13,4,FALSE)</f>
        <v>Senior Analyst</v>
      </c>
    </row>
    <row r="18" spans="1:6" x14ac:dyDescent="0.2">
      <c r="A18" s="8" t="s">
        <v>17</v>
      </c>
      <c r="B18" s="8" t="s">
        <v>32</v>
      </c>
      <c r="C18" s="9">
        <v>12400</v>
      </c>
      <c r="D18" s="7" t="str">
        <f>VLOOKUP(A18,'Employee List'!$A$4:$E$13,2,FALSE)</f>
        <v>Rania Hosseini</v>
      </c>
      <c r="E18" s="7" t="str">
        <f>VLOOKUP(A18,'Employee List'!$A$4:$E$13,3,FALSE)</f>
        <v>Finance</v>
      </c>
      <c r="F18" s="7" t="str">
        <f>VLOOKUP(A18,'Employee List'!$A$4:$E$13,4,FALSE)</f>
        <v>Associate</v>
      </c>
    </row>
    <row r="19" spans="1:6" x14ac:dyDescent="0.2">
      <c r="A19" t="s">
        <v>15</v>
      </c>
      <c r="B19" t="s">
        <v>33</v>
      </c>
      <c r="C19" s="6">
        <v>5700</v>
      </c>
      <c r="D19" s="7" t="str">
        <f>VLOOKUP(A19,'Employee List'!$A$4:$E$13,2,FALSE)</f>
        <v>Aisha Butti</v>
      </c>
      <c r="E19" s="7" t="str">
        <f>VLOOKUP(A19,'Employee List'!$A$4:$E$13,3,FALSE)</f>
        <v>Operations</v>
      </c>
      <c r="F19" s="7" t="str">
        <f>VLOOKUP(A19,'Employee List'!$A$4:$E$13,4,FALSE)</f>
        <v>Manager</v>
      </c>
    </row>
    <row r="20" spans="1:6" x14ac:dyDescent="0.2">
      <c r="A20" s="8" t="s">
        <v>19</v>
      </c>
      <c r="B20" s="8" t="s">
        <v>34</v>
      </c>
      <c r="C20" s="9">
        <v>21600</v>
      </c>
      <c r="D20" s="7" t="str">
        <f>VLOOKUP(A20,'Employee List'!$A$4:$E$13,2,FALSE)</f>
        <v>Sara Khalid</v>
      </c>
      <c r="E20" s="7" t="str">
        <f>VLOOKUP(A20,'Employee List'!$A$4:$E$13,3,FALSE)</f>
        <v>Operations</v>
      </c>
      <c r="F20" s="7" t="str">
        <f>VLOOKUP(A20,'Employee List'!$A$4:$E$13,4,FALSE)</f>
        <v>Senior Analyst</v>
      </c>
    </row>
    <row r="21" spans="1:6" x14ac:dyDescent="0.2">
      <c r="A21" t="s">
        <v>23</v>
      </c>
      <c r="B21" t="s">
        <v>35</v>
      </c>
      <c r="C21" s="6">
        <v>28900</v>
      </c>
      <c r="D21" s="7" t="str">
        <f>VLOOKUP(A21,'Employee List'!$A$4:$E$13,2,FALSE)</f>
        <v>James Okafor</v>
      </c>
      <c r="E21" s="7" t="str">
        <f>VLOOKUP(A21,'Employee List'!$A$4:$E$13,3,FALSE)</f>
        <v>Commercial</v>
      </c>
      <c r="F21" s="7" t="str">
        <f>VLOOKUP(A21,'Employee List'!$A$4:$E$13,4,FALSE)</f>
        <v>Manager</v>
      </c>
    </row>
    <row r="22" spans="1:6" x14ac:dyDescent="0.2">
      <c r="A22" s="8" t="s">
        <v>21</v>
      </c>
      <c r="B22" s="8" t="s">
        <v>36</v>
      </c>
      <c r="C22" s="9">
        <v>6200</v>
      </c>
      <c r="D22" s="7" t="str">
        <f>VLOOKUP(A22,'Employee List'!$A$4:$E$13,2,FALSE)</f>
        <v>Carlos Mendez</v>
      </c>
      <c r="E22" s="7" t="str">
        <f>VLOOKUP(A22,'Employee List'!$A$4:$E$13,3,FALSE)</f>
        <v>Finance</v>
      </c>
      <c r="F22" s="7" t="str">
        <f>VLOOKUP(A22,'Employee List'!$A$4:$E$13,4,FALSE)</f>
        <v>Associate</v>
      </c>
    </row>
    <row r="23" spans="1:6" x14ac:dyDescent="0.2">
      <c r="A23" t="s">
        <v>25</v>
      </c>
      <c r="B23" t="s">
        <v>37</v>
      </c>
      <c r="C23" s="6">
        <v>10700</v>
      </c>
      <c r="D23" s="7" t="str">
        <f>VLOOKUP(A23,'Employee List'!$A$4:$E$13,2,FALSE)</f>
        <v>Mohammed Al Zaabi</v>
      </c>
      <c r="E23" s="7" t="str">
        <f>VLOOKUP(A23,'Employee List'!$A$4:$E$13,3,FALSE)</f>
        <v>Operations</v>
      </c>
      <c r="F23" s="7" t="str">
        <f>VLOOKUP(A23,'Employee List'!$A$4:$E$13,4,FALSE)</f>
        <v>Analyst</v>
      </c>
    </row>
    <row r="24" spans="1:6" x14ac:dyDescent="0.2">
      <c r="A24" s="8" t="s">
        <v>27</v>
      </c>
      <c r="B24" s="8" t="s">
        <v>38</v>
      </c>
      <c r="C24" s="9">
        <v>16300</v>
      </c>
      <c r="D24" s="7" t="str">
        <f>VLOOKUP(A24,'Employee List'!$A$4:$E$13,2,FALSE)</f>
        <v>Thomas Wright</v>
      </c>
      <c r="E24" s="7" t="str">
        <f>VLOOKUP(A24,'Employee List'!$A$4:$E$13,3,FALSE)</f>
        <v>Commercial</v>
      </c>
      <c r="F24" s="7" t="str">
        <f>VLOOKUP(A24,'Employee List'!$A$4:$E$13,4,FALSE)</f>
        <v>Analyst</v>
      </c>
    </row>
    <row r="25" spans="1:6" x14ac:dyDescent="0.2">
      <c r="A25" t="s">
        <v>13</v>
      </c>
      <c r="B25" t="s">
        <v>39</v>
      </c>
      <c r="C25" s="6">
        <v>24100</v>
      </c>
      <c r="D25" s="7" t="str">
        <f>VLOOKUP(A25,'Employee List'!$A$4:$E$13,2,FALSE)</f>
        <v>Ahmed Al Mansoori</v>
      </c>
      <c r="E25" s="7" t="str">
        <f>VLOOKUP(A25,'Employee List'!$A$4:$E$13,3,FALSE)</f>
        <v>Finance</v>
      </c>
      <c r="F25" s="7" t="str">
        <f>VLOOKUP(A25,'Employee List'!$A$4:$E$13,4,FALSE)</f>
        <v>Analyst</v>
      </c>
    </row>
    <row r="26" spans="1:6" x14ac:dyDescent="0.2">
      <c r="A26" s="8" t="s">
        <v>9</v>
      </c>
      <c r="B26" s="8" t="s">
        <v>40</v>
      </c>
      <c r="C26" s="9">
        <v>9500</v>
      </c>
      <c r="D26" s="7" t="str">
        <f>VLOOKUP(A26,'Employee List'!$A$4:$E$13,2,FALSE)</f>
        <v>Priya Nair</v>
      </c>
      <c r="E26" s="7" t="str">
        <f>VLOOKUP(A26,'Employee List'!$A$4:$E$13,3,FALSE)</f>
        <v>Finance</v>
      </c>
      <c r="F26" s="7" t="str">
        <f>VLOOKUP(A26,'Employee List'!$A$4:$E$13,4,FALSE)</f>
        <v>Analyst</v>
      </c>
    </row>
    <row r="27" spans="1:6" x14ac:dyDescent="0.2">
      <c r="A27" t="s">
        <v>11</v>
      </c>
      <c r="B27" t="s">
        <v>41</v>
      </c>
      <c r="C27" s="6">
        <v>18600</v>
      </c>
      <c r="D27" s="7" t="str">
        <f>VLOOKUP(A27,'Employee List'!$A$4:$E$13,2,FALSE)</f>
        <v>Divya Sharma</v>
      </c>
      <c r="E27" s="7" t="str">
        <f>VLOOKUP(A27,'Employee List'!$A$4:$E$13,3,FALSE)</f>
        <v>Commercial</v>
      </c>
      <c r="F27" s="7" t="str">
        <f>VLOOKUP(A27,'Employee List'!$A$4:$E$13,4,FALSE)</f>
        <v>Senior Analyst</v>
      </c>
    </row>
    <row r="30" spans="1:6" x14ac:dyDescent="0.2">
      <c r="E30" t="str">
        <f>INDEX('Employee List'!D:D, MATCH("E009",'Employee List'!A:A, 0))</f>
        <v>Manager</v>
      </c>
    </row>
    <row r="31" spans="1:6" x14ac:dyDescent="0.2">
      <c r="E31" t="str">
        <f>INDEX('Employee List'!A4:A13,MATCH("Priya Nair",'Employee List'!B4:B13,0))</f>
        <v>E003</v>
      </c>
      <c r="F31" t="str">
        <f>IFERROR(INDEX('Employee List'!C4:C13,MATCH("E999",'Employee List'!A4:A13,0)),"Employee not found")</f>
        <v>Employee not found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"/>
  <sheetViews>
    <sheetView workbookViewId="0">
      <selection activeCell="J8" sqref="J8"/>
    </sheetView>
  </sheetViews>
  <sheetFormatPr baseColWidth="10" defaultColWidth="8.83203125" defaultRowHeight="15" x14ac:dyDescent="0.2"/>
  <cols>
    <col min="1" max="1" width="10" customWidth="1"/>
    <col min="2" max="2" width="22" customWidth="1"/>
    <col min="3" max="4" width="16" customWidth="1"/>
    <col min="5" max="5" width="18" customWidth="1"/>
  </cols>
  <sheetData>
    <row r="1" spans="1:5" x14ac:dyDescent="0.2">
      <c r="A1" s="10" t="s">
        <v>42</v>
      </c>
    </row>
    <row r="3" spans="1:5" x14ac:dyDescent="0.2">
      <c r="A3" s="4" t="s">
        <v>3</v>
      </c>
      <c r="B3" s="4" t="s">
        <v>6</v>
      </c>
      <c r="C3" s="4" t="s">
        <v>7</v>
      </c>
      <c r="D3" s="4" t="s">
        <v>8</v>
      </c>
      <c r="E3" s="4" t="s">
        <v>43</v>
      </c>
    </row>
    <row r="4" spans="1:5" x14ac:dyDescent="0.2">
      <c r="A4" s="8" t="s">
        <v>13</v>
      </c>
      <c r="B4" s="8" t="s">
        <v>44</v>
      </c>
      <c r="C4" s="8" t="s">
        <v>45</v>
      </c>
      <c r="D4" s="8" t="s">
        <v>46</v>
      </c>
      <c r="E4" s="8" t="s">
        <v>47</v>
      </c>
    </row>
    <row r="5" spans="1:5" x14ac:dyDescent="0.2">
      <c r="A5" t="s">
        <v>19</v>
      </c>
      <c r="B5" t="s">
        <v>48</v>
      </c>
      <c r="C5" t="s">
        <v>49</v>
      </c>
      <c r="D5" t="s">
        <v>50</v>
      </c>
      <c r="E5" t="s">
        <v>51</v>
      </c>
    </row>
    <row r="6" spans="1:5" x14ac:dyDescent="0.2">
      <c r="A6" s="8" t="s">
        <v>9</v>
      </c>
      <c r="B6" s="8" t="s">
        <v>52</v>
      </c>
      <c r="C6" s="8" t="s">
        <v>45</v>
      </c>
      <c r="D6" s="8" t="s">
        <v>46</v>
      </c>
      <c r="E6" s="8" t="s">
        <v>47</v>
      </c>
    </row>
    <row r="7" spans="1:5" x14ac:dyDescent="0.2">
      <c r="A7" t="s">
        <v>23</v>
      </c>
      <c r="B7" t="s">
        <v>53</v>
      </c>
      <c r="C7" t="s">
        <v>54</v>
      </c>
      <c r="D7" t="s">
        <v>43</v>
      </c>
      <c r="E7" t="s">
        <v>55</v>
      </c>
    </row>
    <row r="8" spans="1:5" x14ac:dyDescent="0.2">
      <c r="A8" s="8" t="s">
        <v>17</v>
      </c>
      <c r="B8" s="8" t="s">
        <v>56</v>
      </c>
      <c r="C8" s="8" t="s">
        <v>45</v>
      </c>
      <c r="D8" s="8" t="s">
        <v>57</v>
      </c>
      <c r="E8" s="8" t="s">
        <v>47</v>
      </c>
    </row>
    <row r="9" spans="1:5" x14ac:dyDescent="0.2">
      <c r="A9" t="s">
        <v>25</v>
      </c>
      <c r="B9" t="s">
        <v>58</v>
      </c>
      <c r="C9" t="s">
        <v>49</v>
      </c>
      <c r="D9" t="s">
        <v>46</v>
      </c>
      <c r="E9" t="s">
        <v>51</v>
      </c>
    </row>
    <row r="10" spans="1:5" x14ac:dyDescent="0.2">
      <c r="A10" s="8" t="s">
        <v>11</v>
      </c>
      <c r="B10" s="8" t="s">
        <v>59</v>
      </c>
      <c r="C10" s="8" t="s">
        <v>54</v>
      </c>
      <c r="D10" s="8" t="s">
        <v>50</v>
      </c>
      <c r="E10" s="8" t="s">
        <v>55</v>
      </c>
    </row>
    <row r="11" spans="1:5" x14ac:dyDescent="0.2">
      <c r="A11" t="s">
        <v>21</v>
      </c>
      <c r="B11" t="s">
        <v>60</v>
      </c>
      <c r="C11" t="s">
        <v>45</v>
      </c>
      <c r="D11" t="s">
        <v>57</v>
      </c>
      <c r="E11" t="s">
        <v>47</v>
      </c>
    </row>
    <row r="12" spans="1:5" x14ac:dyDescent="0.2">
      <c r="A12" s="8" t="s">
        <v>15</v>
      </c>
      <c r="B12" s="8" t="s">
        <v>61</v>
      </c>
      <c r="C12" s="8" t="s">
        <v>49</v>
      </c>
      <c r="D12" s="8" t="s">
        <v>43</v>
      </c>
      <c r="E12" s="8" t="s">
        <v>51</v>
      </c>
    </row>
    <row r="13" spans="1:5" x14ac:dyDescent="0.2">
      <c r="A13" t="s">
        <v>27</v>
      </c>
      <c r="B13" t="s">
        <v>62</v>
      </c>
      <c r="C13" t="s">
        <v>54</v>
      </c>
      <c r="D13" t="s">
        <v>46</v>
      </c>
      <c r="E13" t="s">
        <v>55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3"/>
  <sheetViews>
    <sheetView workbookViewId="0">
      <selection activeCell="B13" sqref="B13"/>
    </sheetView>
  </sheetViews>
  <sheetFormatPr baseColWidth="10" defaultColWidth="8.83203125" defaultRowHeight="15" x14ac:dyDescent="0.2"/>
  <cols>
    <col min="1" max="1" width="60" customWidth="1"/>
    <col min="2" max="2" width="18" customWidth="1"/>
  </cols>
  <sheetData>
    <row r="1" spans="1:2" ht="17" x14ac:dyDescent="0.2">
      <c r="A1" s="1" t="s">
        <v>63</v>
      </c>
    </row>
    <row r="2" spans="1:2" x14ac:dyDescent="0.2">
      <c r="A2" s="2" t="s">
        <v>64</v>
      </c>
    </row>
    <row r="4" spans="1:2" x14ac:dyDescent="0.2">
      <c r="A4" s="11" t="s">
        <v>65</v>
      </c>
    </row>
    <row r="5" spans="1:2" x14ac:dyDescent="0.2">
      <c r="A5" s="12" t="s">
        <v>66</v>
      </c>
      <c r="B5" t="str">
        <f>VLOOKUP('Employee List'!A7,'Employee List'!A4:E13,3,FALSE)</f>
        <v>Commercial</v>
      </c>
    </row>
    <row r="6" spans="1:2" x14ac:dyDescent="0.2">
      <c r="A6" s="2" t="s">
        <v>67</v>
      </c>
    </row>
    <row r="7" spans="1:2" hidden="1" x14ac:dyDescent="0.2">
      <c r="A7" s="13" t="s">
        <v>68</v>
      </c>
    </row>
    <row r="8" spans="1:2" x14ac:dyDescent="0.2">
      <c r="A8" s="11" t="s">
        <v>69</v>
      </c>
    </row>
    <row r="9" spans="1:2" x14ac:dyDescent="0.2">
      <c r="A9" s="12" t="s">
        <v>70</v>
      </c>
      <c r="B9" t="str">
        <f>VLOOKUP('Employee List'!A10,'Employee List'!A4:E13,4,FALSE)</f>
        <v>Senior Analyst</v>
      </c>
    </row>
    <row r="10" spans="1:2" x14ac:dyDescent="0.2">
      <c r="A10" s="2" t="s">
        <v>71</v>
      </c>
    </row>
    <row r="11" spans="1:2" hidden="1" x14ac:dyDescent="0.2">
      <c r="A11" s="13" t="s">
        <v>72</v>
      </c>
    </row>
    <row r="12" spans="1:2" x14ac:dyDescent="0.2">
      <c r="A12" s="11" t="s">
        <v>19</v>
      </c>
      <c r="B12" t="str">
        <f>VLOOKUP(A12,'Employee List'!A4:E13,2,FALSE)</f>
        <v>Sara Khalid</v>
      </c>
    </row>
    <row r="13" spans="1:2" ht="30" x14ac:dyDescent="0.2">
      <c r="A13" s="14" t="s">
        <v>73</v>
      </c>
    </row>
    <row r="14" spans="1:2" x14ac:dyDescent="0.2">
      <c r="A14" s="2" t="s">
        <v>74</v>
      </c>
    </row>
    <row r="15" spans="1:2" hidden="1" x14ac:dyDescent="0.2">
      <c r="A15" s="13" t="s">
        <v>75</v>
      </c>
    </row>
    <row r="16" spans="1:2" x14ac:dyDescent="0.2">
      <c r="A16" s="11" t="s">
        <v>76</v>
      </c>
    </row>
    <row r="17" spans="1:1" ht="30" x14ac:dyDescent="0.2">
      <c r="A17" s="14" t="s">
        <v>77</v>
      </c>
    </row>
    <row r="18" spans="1:1" x14ac:dyDescent="0.2">
      <c r="A18" s="2" t="s">
        <v>78</v>
      </c>
    </row>
    <row r="19" spans="1:1" hidden="1" x14ac:dyDescent="0.2">
      <c r="A19" s="13" t="s">
        <v>79</v>
      </c>
    </row>
    <row r="20" spans="1:1" x14ac:dyDescent="0.2">
      <c r="A20" s="11" t="s">
        <v>80</v>
      </c>
    </row>
    <row r="21" spans="1:1" x14ac:dyDescent="0.2">
      <c r="A21" s="12" t="s">
        <v>81</v>
      </c>
    </row>
    <row r="22" spans="1:1" x14ac:dyDescent="0.2">
      <c r="A22" s="2" t="s">
        <v>82</v>
      </c>
    </row>
    <row r="23" spans="1:1" hidden="1" x14ac:dyDescent="0.2">
      <c r="A23" s="13" t="s">
        <v>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Transactions</vt:lpstr>
      <vt:lpstr>Employee List</vt:lpstr>
      <vt:lpstr>Exercises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Muhammed Ashnad K</cp:lastModifiedBy>
  <dcterms:created xsi:type="dcterms:W3CDTF">2026-08-21T17:29:19Z</dcterms:created>
  <dcterms:modified xsi:type="dcterms:W3CDTF">2026-08-22T21:25:40Z</dcterms:modified>
</cp:coreProperties>
</file>