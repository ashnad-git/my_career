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ercises" sheetId="2" state="visible" r:id="rId2"/>
    <sheet xmlns:r="http://schemas.openxmlformats.org/officeDocument/2006/relationships" name="Answer Ke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3a5f"/>
      <sz val="12"/>
    </font>
    <font>
      <i val="1"/>
      <color rgb="00666666"/>
      <sz val="9"/>
    </font>
    <font>
      <i val="1"/>
      <color rgb="00AA0000"/>
      <sz val="9"/>
    </font>
    <font>
      <b val="1"/>
      <color rgb="00FFFFFF"/>
      <sz val="10"/>
    </font>
    <font>
      <b val="1"/>
      <color rgb="001e3a5f"/>
      <sz val="9"/>
    </font>
    <font>
      <b val="1"/>
      <sz val="9"/>
    </font>
    <font>
      <sz val="9"/>
    </font>
    <font>
      <name val="Courier New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INDEX-MATCH + IFERROR Practice — Zara &amp; Co. Finance Team (Fictional)</t>
        </is>
      </c>
    </row>
    <row r="2">
      <c r="A2" s="2" t="inlineStr">
        <is>
          <t>30 employees across Finance, FP&amp;A, Treasury, Accounting, Internal Audit | Salaries in AED</t>
        </is>
      </c>
    </row>
    <row r="3">
      <c r="A3" s="3" t="inlineStr">
        <is>
          <t>NOTE: Data is intentionally NOT sorted by Employee ID — MATCH must actually search.</t>
        </is>
      </c>
    </row>
    <row r="5" ht="22" customHeight="1">
      <c r="A5" s="4" t="inlineStr">
        <is>
          <t>Employee_ID</t>
        </is>
      </c>
      <c r="B5" s="4" t="inlineStr">
        <is>
          <t>Name</t>
        </is>
      </c>
      <c r="C5" s="4" t="inlineStr">
        <is>
          <t>Department</t>
        </is>
      </c>
      <c r="D5" s="4" t="inlineStr">
        <is>
          <t>Role</t>
        </is>
      </c>
      <c r="E5" s="4" t="inlineStr">
        <is>
          <t>Salary (AED)</t>
        </is>
      </c>
      <c r="F5" s="4" t="inlineStr">
        <is>
          <t>Location</t>
        </is>
      </c>
    </row>
    <row r="6">
      <c r="A6" s="5" t="inlineStr">
        <is>
          <t>E-014</t>
        </is>
      </c>
      <c r="B6" s="6" t="inlineStr">
        <is>
          <t>Hana Al Rashid</t>
        </is>
      </c>
      <c r="C6" s="5" t="inlineStr">
        <is>
          <t>Treasury</t>
        </is>
      </c>
      <c r="D6" s="5" t="inlineStr">
        <is>
          <t>Analyst</t>
        </is>
      </c>
      <c r="E6" s="7" t="n">
        <v>13000</v>
      </c>
      <c r="F6" s="5" t="inlineStr">
        <is>
          <t>Dubai</t>
        </is>
      </c>
    </row>
    <row r="7">
      <c r="A7" s="8" t="inlineStr">
        <is>
          <t>E-022</t>
        </is>
      </c>
      <c r="B7" s="9" t="inlineStr">
        <is>
          <t>Ayesha Al Ketbi</t>
        </is>
      </c>
      <c r="C7" s="8" t="inlineStr">
        <is>
          <t>Accounting</t>
        </is>
      </c>
      <c r="D7" s="8" t="inlineStr">
        <is>
          <t>Senior Analyst</t>
        </is>
      </c>
      <c r="E7" s="10" t="n">
        <v>16000</v>
      </c>
      <c r="F7" s="8" t="inlineStr">
        <is>
          <t>Dubai</t>
        </is>
      </c>
    </row>
    <row r="8">
      <c r="A8" s="5" t="inlineStr">
        <is>
          <t>E-007</t>
        </is>
      </c>
      <c r="B8" s="6" t="inlineStr">
        <is>
          <t>Rajesh Kumar</t>
        </is>
      </c>
      <c r="C8" s="5" t="inlineStr">
        <is>
          <t>Finance</t>
        </is>
      </c>
      <c r="D8" s="5" t="inlineStr">
        <is>
          <t>Analyst</t>
        </is>
      </c>
      <c r="E8" s="7" t="n">
        <v>11000</v>
      </c>
      <c r="F8" s="5" t="inlineStr">
        <is>
          <t>Sharjah</t>
        </is>
      </c>
    </row>
    <row r="9">
      <c r="A9" s="8" t="inlineStr">
        <is>
          <t>E-019</t>
        </is>
      </c>
      <c r="B9" s="9" t="inlineStr">
        <is>
          <t>Sanjay Mehta</t>
        </is>
      </c>
      <c r="C9" s="8" t="inlineStr">
        <is>
          <t>Finance</t>
        </is>
      </c>
      <c r="D9" s="8" t="inlineStr">
        <is>
          <t>Analyst</t>
        </is>
      </c>
      <c r="E9" s="10" t="n">
        <v>10500</v>
      </c>
      <c r="F9" s="8" t="inlineStr">
        <is>
          <t>Dubai</t>
        </is>
      </c>
    </row>
    <row r="10">
      <c r="A10" s="5" t="inlineStr">
        <is>
          <t>E-026</t>
        </is>
      </c>
      <c r="B10" s="6" t="inlineStr">
        <is>
          <t>Hessa Al Suwaidi</t>
        </is>
      </c>
      <c r="C10" s="5" t="inlineStr">
        <is>
          <t>FP&amp;A</t>
        </is>
      </c>
      <c r="D10" s="5" t="inlineStr">
        <is>
          <t>Analyst</t>
        </is>
      </c>
      <c r="E10" s="7" t="n">
        <v>12500</v>
      </c>
      <c r="F10" s="5" t="inlineStr">
        <is>
          <t>Dubai</t>
        </is>
      </c>
    </row>
    <row r="11">
      <c r="A11" s="8" t="inlineStr">
        <is>
          <t>E-011</t>
        </is>
      </c>
      <c r="B11" s="9" t="inlineStr">
        <is>
          <t>Khalid Al Suwaidi</t>
        </is>
      </c>
      <c r="C11" s="8" t="inlineStr">
        <is>
          <t>FP&amp;A</t>
        </is>
      </c>
      <c r="D11" s="8" t="inlineStr">
        <is>
          <t>Manager</t>
        </is>
      </c>
      <c r="E11" s="10" t="n">
        <v>25000</v>
      </c>
      <c r="F11" s="8" t="inlineStr">
        <is>
          <t>Dubai</t>
        </is>
      </c>
    </row>
    <row r="12">
      <c r="A12" s="5" t="inlineStr">
        <is>
          <t>E-003</t>
        </is>
      </c>
      <c r="B12" s="6" t="inlineStr">
        <is>
          <t>Omar Hassan Al Farsi</t>
        </is>
      </c>
      <c r="C12" s="5" t="inlineStr">
        <is>
          <t>Accounting</t>
        </is>
      </c>
      <c r="D12" s="5" t="inlineStr">
        <is>
          <t>Analyst</t>
        </is>
      </c>
      <c r="E12" s="7" t="n">
        <v>12000</v>
      </c>
      <c r="F12" s="5" t="inlineStr">
        <is>
          <t>Dubai</t>
        </is>
      </c>
    </row>
    <row r="13">
      <c r="A13" s="8" t="inlineStr">
        <is>
          <t>E-028</t>
        </is>
      </c>
      <c r="B13" s="9" t="inlineStr">
        <is>
          <t>Shaikha Al Muhairi</t>
        </is>
      </c>
      <c r="C13" s="8" t="inlineStr">
        <is>
          <t>Finance</t>
        </is>
      </c>
      <c r="D13" s="8" t="inlineStr">
        <is>
          <t>Director</t>
        </is>
      </c>
      <c r="E13" s="10" t="n">
        <v>45000</v>
      </c>
      <c r="F13" s="8" t="inlineStr">
        <is>
          <t>Abu Dhabi</t>
        </is>
      </c>
    </row>
    <row r="14">
      <c r="A14" s="5" t="inlineStr">
        <is>
          <t>E-016</t>
        </is>
      </c>
      <c r="B14" s="6" t="inlineStr">
        <is>
          <t>Layla Al Hajri</t>
        </is>
      </c>
      <c r="C14" s="5" t="inlineStr">
        <is>
          <t>FP&amp;A</t>
        </is>
      </c>
      <c r="D14" s="5" t="inlineStr">
        <is>
          <t>Senior Analyst</t>
        </is>
      </c>
      <c r="E14" s="7" t="n">
        <v>19000</v>
      </c>
      <c r="F14" s="5" t="inlineStr">
        <is>
          <t>Abu Dhabi</t>
        </is>
      </c>
    </row>
    <row r="15">
      <c r="A15" s="8" t="inlineStr">
        <is>
          <t>E-030</t>
        </is>
      </c>
      <c r="B15" s="9" t="inlineStr">
        <is>
          <t>Zainab Al Darmaki</t>
        </is>
      </c>
      <c r="C15" s="8" t="inlineStr">
        <is>
          <t>Treasury</t>
        </is>
      </c>
      <c r="D15" s="8" t="inlineStr">
        <is>
          <t>Analyst</t>
        </is>
      </c>
      <c r="E15" s="10" t="n">
        <v>12000</v>
      </c>
      <c r="F15" s="8" t="inlineStr">
        <is>
          <t>Sharjah</t>
        </is>
      </c>
    </row>
    <row r="16">
      <c r="A16" s="5" t="inlineStr">
        <is>
          <t>E-005</t>
        </is>
      </c>
      <c r="B16" s="6" t="inlineStr">
        <is>
          <t>James Mitchell</t>
        </is>
      </c>
      <c r="C16" s="5" t="inlineStr">
        <is>
          <t>Internal Audit</t>
        </is>
      </c>
      <c r="D16" s="5" t="inlineStr">
        <is>
          <t>Senior Manager</t>
        </is>
      </c>
      <c r="E16" s="7" t="n">
        <v>28000</v>
      </c>
      <c r="F16" s="5" t="inlineStr">
        <is>
          <t>Abu Dhabi</t>
        </is>
      </c>
    </row>
    <row r="17">
      <c r="A17" s="8" t="inlineStr">
        <is>
          <t>E-024</t>
        </is>
      </c>
      <c r="B17" s="9" t="inlineStr">
        <is>
          <t>Noura Al Shamsi</t>
        </is>
      </c>
      <c r="C17" s="8" t="inlineStr">
        <is>
          <t>Finance</t>
        </is>
      </c>
      <c r="D17" s="8" t="inlineStr">
        <is>
          <t>Manager</t>
        </is>
      </c>
      <c r="E17" s="10" t="n">
        <v>23500</v>
      </c>
      <c r="F17" s="8" t="inlineStr">
        <is>
          <t>Abu Dhabi</t>
        </is>
      </c>
    </row>
    <row r="18">
      <c r="A18" s="5" t="inlineStr">
        <is>
          <t>E-008</t>
        </is>
      </c>
      <c r="B18" s="6" t="inlineStr">
        <is>
          <t>Aisha Al Hamdan</t>
        </is>
      </c>
      <c r="C18" s="5" t="inlineStr">
        <is>
          <t>Accounting</t>
        </is>
      </c>
      <c r="D18" s="5" t="inlineStr">
        <is>
          <t>Senior Analyst</t>
        </is>
      </c>
      <c r="E18" s="7" t="n">
        <v>15500</v>
      </c>
      <c r="F18" s="5" t="inlineStr">
        <is>
          <t>Dubai</t>
        </is>
      </c>
    </row>
    <row r="19">
      <c r="A19" s="8" t="inlineStr">
        <is>
          <t>E-017</t>
        </is>
      </c>
      <c r="B19" s="9" t="inlineStr">
        <is>
          <t>Daniel Park</t>
        </is>
      </c>
      <c r="C19" s="8" t="inlineStr">
        <is>
          <t>Internal Audit</t>
        </is>
      </c>
      <c r="D19" s="8" t="inlineStr">
        <is>
          <t>Manager</t>
        </is>
      </c>
      <c r="E19" s="10" t="n">
        <v>23000</v>
      </c>
      <c r="F19" s="8" t="inlineStr">
        <is>
          <t>Dubai</t>
        </is>
      </c>
    </row>
    <row r="20">
      <c r="A20" s="5" t="inlineStr">
        <is>
          <t>E-001</t>
        </is>
      </c>
      <c r="B20" s="6" t="inlineStr">
        <is>
          <t>Ahmed Al Rashidi</t>
        </is>
      </c>
      <c r="C20" s="5" t="inlineStr">
        <is>
          <t>FP&amp;A</t>
        </is>
      </c>
      <c r="D20" s="5" t="inlineStr">
        <is>
          <t>Senior Analyst</t>
        </is>
      </c>
      <c r="E20" s="7" t="n">
        <v>18000</v>
      </c>
      <c r="F20" s="5" t="inlineStr">
        <is>
          <t>Dubai</t>
        </is>
      </c>
    </row>
    <row r="21">
      <c r="A21" s="8" t="inlineStr">
        <is>
          <t>E-025</t>
        </is>
      </c>
      <c r="B21" s="9" t="inlineStr">
        <is>
          <t>Mark Williams</t>
        </is>
      </c>
      <c r="C21" s="8" t="inlineStr">
        <is>
          <t>Treasury</t>
        </is>
      </c>
      <c r="D21" s="8" t="inlineStr">
        <is>
          <t>Manager</t>
        </is>
      </c>
      <c r="E21" s="10" t="n">
        <v>26000</v>
      </c>
      <c r="F21" s="8" t="inlineStr">
        <is>
          <t>Dubai</t>
        </is>
      </c>
    </row>
    <row r="22">
      <c r="A22" s="5" t="inlineStr">
        <is>
          <t>E-012</t>
        </is>
      </c>
      <c r="B22" s="6" t="inlineStr">
        <is>
          <t>Nadia El Sayed</t>
        </is>
      </c>
      <c r="C22" s="5" t="inlineStr">
        <is>
          <t>Finance</t>
        </is>
      </c>
      <c r="D22" s="5" t="inlineStr">
        <is>
          <t>Senior Analyst</t>
        </is>
      </c>
      <c r="E22" s="7" t="n">
        <v>17000</v>
      </c>
      <c r="F22" s="5" t="inlineStr">
        <is>
          <t>Dubai</t>
        </is>
      </c>
    </row>
    <row r="23">
      <c r="A23" s="8" t="inlineStr">
        <is>
          <t>E-006</t>
        </is>
      </c>
      <c r="B23" s="9" t="inlineStr">
        <is>
          <t>Sara Al Mansoori</t>
        </is>
      </c>
      <c r="C23" s="8" t="inlineStr">
        <is>
          <t>FP&amp;A</t>
        </is>
      </c>
      <c r="D23" s="8" t="inlineStr">
        <is>
          <t>Analyst</t>
        </is>
      </c>
      <c r="E23" s="10" t="n">
        <v>13500</v>
      </c>
      <c r="F23" s="8" t="inlineStr">
        <is>
          <t>Dubai</t>
        </is>
      </c>
    </row>
    <row r="24">
      <c r="A24" s="5" t="inlineStr">
        <is>
          <t>E-029</t>
        </is>
      </c>
      <c r="B24" s="6" t="inlineStr">
        <is>
          <t>Lucas Martin</t>
        </is>
      </c>
      <c r="C24" s="5" t="inlineStr">
        <is>
          <t>Internal Audit</t>
        </is>
      </c>
      <c r="D24" s="5" t="inlineStr">
        <is>
          <t>Analyst</t>
        </is>
      </c>
      <c r="E24" s="7" t="n">
        <v>11000</v>
      </c>
      <c r="F24" s="5" t="inlineStr">
        <is>
          <t>Dubai</t>
        </is>
      </c>
    </row>
    <row r="25">
      <c r="A25" s="8" t="inlineStr">
        <is>
          <t>E-020</t>
        </is>
      </c>
      <c r="B25" s="9" t="inlineStr">
        <is>
          <t>Reem Al Nuaimi</t>
        </is>
      </c>
      <c r="C25" s="8" t="inlineStr">
        <is>
          <t>Treasury</t>
        </is>
      </c>
      <c r="D25" s="8" t="inlineStr">
        <is>
          <t>Senior Analyst</t>
        </is>
      </c>
      <c r="E25" s="10" t="n">
        <v>15000</v>
      </c>
      <c r="F25" s="8" t="inlineStr">
        <is>
          <t>Abu Dhabi</t>
        </is>
      </c>
    </row>
    <row r="26">
      <c r="A26" s="5" t="inlineStr">
        <is>
          <t>E-009</t>
        </is>
      </c>
      <c r="B26" s="6" t="inlineStr">
        <is>
          <t>Mohammed Al Marzouqi</t>
        </is>
      </c>
      <c r="C26" s="5" t="inlineStr">
        <is>
          <t>Treasury</t>
        </is>
      </c>
      <c r="D26" s="5" t="inlineStr">
        <is>
          <t>Manager</t>
        </is>
      </c>
      <c r="E26" s="7" t="n">
        <v>24000</v>
      </c>
      <c r="F26" s="5" t="inlineStr">
        <is>
          <t>Abu Dhabi</t>
        </is>
      </c>
    </row>
    <row r="27">
      <c r="A27" s="8" t="inlineStr">
        <is>
          <t>E-027</t>
        </is>
      </c>
      <c r="B27" s="9" t="inlineStr">
        <is>
          <t>Anand Iyer</t>
        </is>
      </c>
      <c r="C27" s="8" t="inlineStr">
        <is>
          <t>Accounting</t>
        </is>
      </c>
      <c r="D27" s="8" t="inlineStr">
        <is>
          <t>Manager</t>
        </is>
      </c>
      <c r="E27" s="10" t="n">
        <v>22000</v>
      </c>
      <c r="F27" s="8" t="inlineStr">
        <is>
          <t>Dubai</t>
        </is>
      </c>
    </row>
    <row r="28">
      <c r="A28" s="5" t="inlineStr">
        <is>
          <t>E-004</t>
        </is>
      </c>
      <c r="B28" s="6" t="inlineStr">
        <is>
          <t>Priya Nair</t>
        </is>
      </c>
      <c r="C28" s="5" t="inlineStr">
        <is>
          <t>Treasury</t>
        </is>
      </c>
      <c r="D28" s="5" t="inlineStr">
        <is>
          <t>Senior Analyst</t>
        </is>
      </c>
      <c r="E28" s="7" t="n">
        <v>16000</v>
      </c>
      <c r="F28" s="5" t="inlineStr">
        <is>
          <t>Dubai</t>
        </is>
      </c>
    </row>
    <row r="29">
      <c r="A29" s="8" t="inlineStr">
        <is>
          <t>E-023</t>
        </is>
      </c>
      <c r="B29" s="9" t="inlineStr">
        <is>
          <t>Arjun Pillai</t>
        </is>
      </c>
      <c r="C29" s="8" t="inlineStr">
        <is>
          <t>Internal Audit</t>
        </is>
      </c>
      <c r="D29" s="8" t="inlineStr">
        <is>
          <t>Senior Analyst</t>
        </is>
      </c>
      <c r="E29" s="10" t="n">
        <v>17500</v>
      </c>
      <c r="F29" s="8" t="inlineStr">
        <is>
          <t>Dubai</t>
        </is>
      </c>
    </row>
    <row r="30">
      <c r="A30" s="5" t="inlineStr">
        <is>
          <t>E-013</t>
        </is>
      </c>
      <c r="B30" s="6" t="inlineStr">
        <is>
          <t>Thomas Clarke</t>
        </is>
      </c>
      <c r="C30" s="5" t="inlineStr">
        <is>
          <t>Accounting</t>
        </is>
      </c>
      <c r="D30" s="5" t="inlineStr">
        <is>
          <t>Manager</t>
        </is>
      </c>
      <c r="E30" s="7" t="n">
        <v>21000</v>
      </c>
      <c r="F30" s="5" t="inlineStr">
        <is>
          <t>Abu Dhabi</t>
        </is>
      </c>
    </row>
    <row r="31">
      <c r="A31" s="8" t="inlineStr">
        <is>
          <t>E-021</t>
        </is>
      </c>
      <c r="B31" s="9" t="inlineStr">
        <is>
          <t>Patrick O'Brien</t>
        </is>
      </c>
      <c r="C31" s="8" t="inlineStr">
        <is>
          <t>FP&amp;A</t>
        </is>
      </c>
      <c r="D31" s="8" t="inlineStr">
        <is>
          <t>Director</t>
        </is>
      </c>
      <c r="E31" s="10" t="n">
        <v>42000</v>
      </c>
      <c r="F31" s="8" t="inlineStr">
        <is>
          <t>Dubai</t>
        </is>
      </c>
    </row>
    <row r="32">
      <c r="A32" s="5" t="inlineStr">
        <is>
          <t>E-002</t>
        </is>
      </c>
      <c r="B32" s="6" t="inlineStr">
        <is>
          <t>Fatima Al Zaabi</t>
        </is>
      </c>
      <c r="C32" s="5" t="inlineStr">
        <is>
          <t>Finance</t>
        </is>
      </c>
      <c r="D32" s="5" t="inlineStr">
        <is>
          <t>Manager</t>
        </is>
      </c>
      <c r="E32" s="7" t="n">
        <v>22000</v>
      </c>
      <c r="F32" s="5" t="inlineStr">
        <is>
          <t>Abu Dhabi</t>
        </is>
      </c>
    </row>
    <row r="33">
      <c r="A33" s="8" t="inlineStr">
        <is>
          <t>E-018</t>
        </is>
      </c>
      <c r="B33" s="9" t="inlineStr">
        <is>
          <t>Mariam Al Blooshi</t>
        </is>
      </c>
      <c r="C33" s="8" t="inlineStr">
        <is>
          <t>Accounting</t>
        </is>
      </c>
      <c r="D33" s="8" t="inlineStr">
        <is>
          <t>Analyst</t>
        </is>
      </c>
      <c r="E33" s="10" t="n">
        <v>11500</v>
      </c>
      <c r="F33" s="8" t="inlineStr">
        <is>
          <t>Sharjah</t>
        </is>
      </c>
    </row>
    <row r="34">
      <c r="A34" s="5" t="inlineStr">
        <is>
          <t>E-010</t>
        </is>
      </c>
      <c r="B34" s="6" t="inlineStr">
        <is>
          <t>Deepa Krishnan</t>
        </is>
      </c>
      <c r="C34" s="5" t="inlineStr">
        <is>
          <t>Internal Audit</t>
        </is>
      </c>
      <c r="D34" s="5" t="inlineStr">
        <is>
          <t>Analyst</t>
        </is>
      </c>
      <c r="E34" s="7" t="n">
        <v>12500</v>
      </c>
      <c r="F34" s="5" t="inlineStr">
        <is>
          <t>Dubai</t>
        </is>
      </c>
    </row>
    <row r="35">
      <c r="A35" s="8" t="inlineStr">
        <is>
          <t>E-015</t>
        </is>
      </c>
      <c r="B35" s="9" t="inlineStr">
        <is>
          <t>Vikram Sharma</t>
        </is>
      </c>
      <c r="C35" s="8" t="inlineStr">
        <is>
          <t>Finance</t>
        </is>
      </c>
      <c r="D35" s="8" t="inlineStr">
        <is>
          <t>Senior Manager</t>
        </is>
      </c>
      <c r="E35" s="10" t="n">
        <v>30000</v>
      </c>
      <c r="F35" s="8" t="inlineStr">
        <is>
          <t>Dubai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8" customWidth="1" min="2" max="2"/>
    <col width="14" customWidth="1" min="3" max="3"/>
    <col width="40" customWidth="1" min="4" max="4"/>
    <col width="14" customWidth="1" min="6" max="6"/>
    <col width="18" customWidth="1" min="7" max="7"/>
  </cols>
  <sheetData>
    <row r="1">
      <c r="A1" s="1" t="inlineStr">
        <is>
          <t>INDEX-MATCH + IFERROR Exercises</t>
        </is>
      </c>
      <c r="F1" s="11" t="inlineStr">
        <is>
          <t>Column Reference (Data sheet)</t>
        </is>
      </c>
    </row>
    <row r="2">
      <c r="A2" s="2" t="inlineStr">
        <is>
          <t>Data is on the 'Data' sheet (rows 6–35). Write your formula in column D.</t>
        </is>
      </c>
      <c r="F2" s="12" t="inlineStr">
        <is>
          <t>A (col 1)</t>
        </is>
      </c>
      <c r="G2" s="13" t="inlineStr">
        <is>
          <t>Employee_ID</t>
        </is>
      </c>
    </row>
    <row r="3">
      <c r="F3" s="12" t="inlineStr">
        <is>
          <t>B (col 2)</t>
        </is>
      </c>
      <c r="G3" s="13" t="inlineStr">
        <is>
          <t>Name</t>
        </is>
      </c>
    </row>
    <row r="4">
      <c r="A4" s="4" t="inlineStr">
        <is>
          <t>#</t>
        </is>
      </c>
      <c r="B4" s="4" t="inlineStr">
        <is>
          <t>Question</t>
        </is>
      </c>
      <c r="C4" s="4" t="inlineStr">
        <is>
          <t>Difficulty</t>
        </is>
      </c>
      <c r="D4" s="4" t="inlineStr">
        <is>
          <t>Your Formula / Answer</t>
        </is>
      </c>
      <c r="F4" s="12" t="inlineStr">
        <is>
          <t>C (col 3)</t>
        </is>
      </c>
      <c r="G4" s="13" t="inlineStr">
        <is>
          <t>Department</t>
        </is>
      </c>
    </row>
    <row r="5" ht="48" customHeight="1">
      <c r="A5" s="14" t="n">
        <v>1</v>
      </c>
      <c r="B5" s="15" t="inlineStr">
        <is>
          <t>Employee ID E-008 is in cell H2. Return their full Name.
(This is a right lookup — same as VLOOKUP, but use INDEX-MATCH.)</t>
        </is>
      </c>
      <c r="C5" s="14" t="inlineStr">
        <is>
          <t>Level 1</t>
        </is>
      </c>
      <c r="D5" s="14" t="inlineStr"/>
      <c r="F5" s="12" t="inlineStr">
        <is>
          <t>D (col 4)</t>
        </is>
      </c>
      <c r="G5" s="13" t="inlineStr">
        <is>
          <t>Role</t>
        </is>
      </c>
    </row>
    <row r="6" ht="48" customHeight="1">
      <c r="A6" s="16" t="n">
        <v>2</v>
      </c>
      <c r="B6" s="17" t="inlineStr">
        <is>
          <t>Return the Department for Employee ID E-015.</t>
        </is>
      </c>
      <c r="C6" s="16" t="inlineStr">
        <is>
          <t>Level 1</t>
        </is>
      </c>
      <c r="D6" s="16" t="inlineStr"/>
      <c r="F6" s="12" t="inlineStr">
        <is>
          <t>E (col 5)</t>
        </is>
      </c>
      <c r="G6" s="13" t="inlineStr">
        <is>
          <t>Salary (AED)</t>
        </is>
      </c>
    </row>
    <row r="7" ht="48" customHeight="1">
      <c r="A7" s="14" t="n">
        <v>3</v>
      </c>
      <c r="B7" s="15" t="inlineStr">
        <is>
          <t>Return the Salary (AED) for Employee ID E-022.</t>
        </is>
      </c>
      <c r="C7" s="14" t="inlineStr">
        <is>
          <t>Level 1</t>
        </is>
      </c>
      <c r="D7" s="14" t="inlineStr"/>
      <c r="F7" s="12" t="inlineStr">
        <is>
          <t>F (col 6)</t>
        </is>
      </c>
      <c r="G7" s="13" t="inlineStr">
        <is>
          <t>Location</t>
        </is>
      </c>
    </row>
    <row r="8" ht="48" customHeight="1">
      <c r="A8" s="16" t="n">
        <v>4</v>
      </c>
      <c r="B8" s="17" t="inlineStr">
        <is>
          <t>You know the name is 'Omar Hassan Al Farsi'. Return their Employee ID.
Employee ID is in column A — to the LEFT of the Name column.
VLOOKUP cannot do this. INDEX-MATCH can.</t>
        </is>
      </c>
      <c r="C8" s="16" t="inlineStr">
        <is>
          <t>Level 2 ★</t>
        </is>
      </c>
      <c r="D8" s="16" t="inlineStr"/>
    </row>
    <row r="9" ht="48" customHeight="1">
      <c r="A9" s="14" t="n">
        <v>5</v>
      </c>
      <c r="B9" s="15" t="inlineStr">
        <is>
          <t>Given the name 'Priya Nair', return their Role.</t>
        </is>
      </c>
      <c r="C9" s="14" t="inlineStr">
        <is>
          <t>Level 2 ★</t>
        </is>
      </c>
      <c r="D9" s="14" t="inlineStr"/>
    </row>
    <row r="10" ht="48" customHeight="1">
      <c r="A10" s="16" t="n">
        <v>6</v>
      </c>
      <c r="B10" s="17" t="inlineStr">
        <is>
          <t>Given the name 'James Mitchell', return their Location.</t>
        </is>
      </c>
      <c r="C10" s="16" t="inlineStr">
        <is>
          <t>Level 2 ★</t>
        </is>
      </c>
      <c r="D10" s="16" t="inlineStr"/>
    </row>
    <row r="11" ht="48" customHeight="1">
      <c r="A11" s="14" t="n">
        <v>7</v>
      </c>
      <c r="B11" s="15" t="inlineStr">
        <is>
          <t>Employee ID 'E-099' does not exist in the table.
Write INDEX-MATCH wrapped in IFERROR to return 'Employee not found' instead of #N/A.</t>
        </is>
      </c>
      <c r="C11" s="14" t="inlineStr">
        <is>
          <t>Level 3</t>
        </is>
      </c>
      <c r="D11" s="14" t="inlineStr"/>
    </row>
    <row r="12" ht="48" customHeight="1">
      <c r="A12" s="16" t="n">
        <v>8</v>
      </c>
      <c r="B12" s="17" t="inlineStr">
        <is>
          <t>Return the Salary for 'Khalid Al Suwaidi'. Then wrap in IFERROR so that
if the name is mistyped and not found, the cell shows 0 instead of an error.</t>
        </is>
      </c>
      <c r="C12" s="16" t="inlineStr">
        <is>
          <t>Level 3</t>
        </is>
      </c>
      <c r="D12" s="16" t="inlineStr"/>
    </row>
    <row r="13" ht="48" customHeight="1">
      <c r="A13" s="14" t="n">
        <v>9</v>
      </c>
      <c r="B13" s="15" t="inlineStr">
        <is>
          <t>Find the NAME of the highest-paid employee in the entire company.
Hint: combine INDEX-MATCH with MAX().</t>
        </is>
      </c>
      <c r="C13" s="14" t="inlineStr">
        <is>
          <t>Level 4 ★★</t>
        </is>
      </c>
      <c r="D13" s="14" t="inlineStr"/>
    </row>
    <row r="14" ht="48" customHeight="1">
      <c r="A14" s="16" t="n">
        <v>10</v>
      </c>
      <c r="B14" s="17" t="inlineStr">
        <is>
          <t>Find the NAME of the highest-paid employee in the FP&amp;A department only.
Hint: you cannot use MAX directly — think about which formula filters by department.</t>
        </is>
      </c>
      <c r="C14" s="16" t="inlineStr">
        <is>
          <t>Level 4 ★★</t>
        </is>
      </c>
      <c r="D14" s="16" t="inlineStr"/>
    </row>
    <row r="15" ht="48" customHeight="1">
      <c r="A15" s="14" t="n">
        <v>11</v>
      </c>
      <c r="B15" s="15" t="inlineStr">
        <is>
          <t>How many employees are in each department? Use COUNTIF for each of the 5 departments.
Then use INDEX-MATCH to look up the count for any department name you type in a cell.</t>
        </is>
      </c>
      <c r="C15" s="14" t="inlineStr">
        <is>
          <t>Level 4 ★★</t>
        </is>
      </c>
      <c r="D15" s="14" t="inlineStr"/>
    </row>
  </sheetData>
  <mergeCells count="3">
    <mergeCell ref="A1:D1"/>
    <mergeCell ref="F1:G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1">
      <c r="A1" s="1" t="inlineStr">
        <is>
          <t>Answer Key — INDEX-MATCH + IFERROR Practice</t>
        </is>
      </c>
    </row>
    <row r="3">
      <c r="A3" s="18" t="inlineStr">
        <is>
          <t>#</t>
        </is>
      </c>
      <c r="B3" s="18" t="inlineStr">
        <is>
          <t>Answer</t>
        </is>
      </c>
      <c r="C3" s="18" t="inlineStr">
        <is>
          <t>Formula</t>
        </is>
      </c>
    </row>
    <row r="4" ht="20" customHeight="1">
      <c r="A4" s="19" t="n">
        <v>1</v>
      </c>
      <c r="B4" s="19" t="inlineStr">
        <is>
          <t>Aisha Al Hamdan</t>
        </is>
      </c>
      <c r="C4" s="20">
        <f>INDEX(Data!B6:B35, MATCH("E-008", Data!A6:A35, 0))</f>
        <v/>
      </c>
    </row>
    <row r="5" ht="20" customHeight="1">
      <c r="A5" s="19" t="n">
        <v>2</v>
      </c>
      <c r="B5" s="19" t="inlineStr">
        <is>
          <t>Finance</t>
        </is>
      </c>
      <c r="C5" s="20">
        <f>INDEX(Data!C6:C35, MATCH("E-015", Data!A6:A35, 0))</f>
        <v/>
      </c>
    </row>
    <row r="6" ht="20" customHeight="1">
      <c r="A6" s="19" t="n">
        <v>3</v>
      </c>
      <c r="B6" s="19" t="inlineStr">
        <is>
          <t>16,000</t>
        </is>
      </c>
      <c r="C6" s="20">
        <f>INDEX(Data!E6:E35, MATCH("E-022", Data!A6:A35, 0))</f>
        <v/>
      </c>
    </row>
    <row r="7" ht="20" customHeight="1">
      <c r="A7" s="19" t="n">
        <v>4</v>
      </c>
      <c r="B7" s="19" t="inlineStr">
        <is>
          <t>E-003</t>
        </is>
      </c>
      <c r="C7" s="20">
        <f>INDEX(Data!A6:A35, MATCH("Omar Hassan Al Farsi", Data!B6:B35, 0))</f>
        <v/>
      </c>
    </row>
    <row r="8" ht="20" customHeight="1">
      <c r="A8" s="19" t="n">
        <v>5</v>
      </c>
      <c r="B8" s="19" t="inlineStr">
        <is>
          <t>Senior Analyst</t>
        </is>
      </c>
      <c r="C8" s="20">
        <f>INDEX(Data!D6:D35, MATCH("Priya Nair", Data!B6:B35, 0))</f>
        <v/>
      </c>
    </row>
    <row r="9" ht="20" customHeight="1">
      <c r="A9" s="19" t="n">
        <v>6</v>
      </c>
      <c r="B9" s="19" t="inlineStr">
        <is>
          <t>Abu Dhabi</t>
        </is>
      </c>
      <c r="C9" s="20">
        <f>INDEX(Data!F6:F35, MATCH("James Mitchell", Data!B6:B35, 0))</f>
        <v/>
      </c>
    </row>
    <row r="10" ht="20" customHeight="1">
      <c r="A10" s="19" t="n">
        <v>7</v>
      </c>
      <c r="B10" s="19" t="inlineStr">
        <is>
          <t>Employee not found</t>
        </is>
      </c>
      <c r="C10" s="20">
        <f>IFERROR(INDEX(Data!B6:B35, MATCH("E-099", Data!A6:A35, 0)), "Employee not found")</f>
        <v/>
      </c>
    </row>
    <row r="11" ht="20" customHeight="1">
      <c r="A11" s="19" t="n">
        <v>8</v>
      </c>
      <c r="B11" s="19" t="inlineStr">
        <is>
          <t>25,000 (or 0 if name wrong)</t>
        </is>
      </c>
      <c r="C11" s="20">
        <f>IFERROR(INDEX(Data!E6:E35, MATCH("Khalid Al Suwaidi", Data!B6:B35, 0)), 0)</f>
        <v/>
      </c>
    </row>
    <row r="12" ht="20" customHeight="1">
      <c r="A12" s="19" t="n">
        <v>9</v>
      </c>
      <c r="B12" s="19" t="inlineStr">
        <is>
          <t>Shaikha Al Muhairi (45,000 AED)</t>
        </is>
      </c>
      <c r="C12" s="20">
        <f>INDEX(Data!B6:B35, MATCH(MAX(Data!E6:E35), Data!E6:E35, 0))</f>
        <v/>
      </c>
    </row>
    <row r="13" ht="20" customHeight="1">
      <c r="A13" s="19" t="n">
        <v>10</v>
      </c>
      <c r="B13" s="19" t="inlineStr">
        <is>
          <t>Patrick O'Brien (42,000 AED)</t>
        </is>
      </c>
      <c r="C13" s="20">
        <f>INDEX(Data!B6:B35, MATCH(MAXIFS(Data!E6:E35, Data!C6:C35, "FP&amp;A"), Data!E6:E35, 0))</f>
        <v/>
      </c>
    </row>
    <row r="14" ht="20" customHeight="1">
      <c r="A14" s="19" t="n">
        <v>11</v>
      </c>
      <c r="B14" s="19" t="inlineStr">
        <is>
          <t>Finance=7, FP&amp;A=6, Treasury=6, Accounting=6, Internal Audit=5</t>
        </is>
      </c>
      <c r="C14" s="20">
        <f>COUNTIF(Data!C6:C35,"Finance") etc. Then INDEX-MATCH over a summary table.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2026-08-23T19:51:12Z</dcterms:created>
  <dcterms:modified xmlns:dcterms="http://purl.org/dc/terms/" xmlns:xsi="http://www.w3.org/2001/XMLSchema-instance" xsi:type="dcterms:W3CDTF">2026-08-23T19:51:12Z</dcterms:modified>
</cp:coreProperties>
</file>