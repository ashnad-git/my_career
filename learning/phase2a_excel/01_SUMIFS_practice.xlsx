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Exercises" sheetId="2" state="visible" r:id="rId2"/>
    <sheet xmlns:r="http://schemas.openxmlformats.org/officeDocument/2006/relationships" name="Answer Key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e3a5f"/>
      <sz val="12"/>
    </font>
    <font>
      <i val="1"/>
      <color rgb="00666666"/>
      <sz val="9"/>
    </font>
    <font>
      <b val="1"/>
      <color rgb="00FFFFFF"/>
      <sz val="10"/>
    </font>
    <font>
      <name val="Courier New"/>
      <sz val="9"/>
    </font>
  </fonts>
  <fills count="4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3" fontId="0" fillId="3" borderId="1" applyAlignment="1" pivotButton="0" quotePrefix="0" xfId="0">
      <alignment horizont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pivotButton="0" quotePrefix="0" xfId="0"/>
    <xf numFmtId="0" fontId="4" fillId="0" borderId="1" pivotButton="0" quotePrefix="0" xfId="0"/>
    <xf numFmtId="49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8" customWidth="1" min="5" max="5"/>
    <col width="16" customWidth="1" min="6" max="6"/>
  </cols>
  <sheetData>
    <row r="1">
      <c r="A1" s="1" t="inlineStr">
        <is>
          <t>SUMIFS Practice — Zara &amp; Co. UAE (Fictional)</t>
        </is>
      </c>
    </row>
    <row r="2">
      <c r="A2" s="2" t="inlineStr">
        <is>
          <t>Source: Monthly departmental spend data, Jan–Jun 2025 (AED)</t>
        </is>
      </c>
    </row>
    <row r="4" ht="22" customHeight="1">
      <c r="A4" s="3" t="inlineStr">
        <is>
          <t>Month</t>
        </is>
      </c>
      <c r="B4" s="3" t="inlineStr">
        <is>
          <t>Quarter</t>
        </is>
      </c>
      <c r="C4" s="3" t="inlineStr">
        <is>
          <t>Region</t>
        </is>
      </c>
      <c r="D4" s="3" t="inlineStr">
        <is>
          <t>Department</t>
        </is>
      </c>
      <c r="E4" s="3" t="inlineStr">
        <is>
          <t>Category</t>
        </is>
      </c>
      <c r="F4" s="3" t="inlineStr">
        <is>
          <t>Amount (AED)</t>
        </is>
      </c>
    </row>
    <row r="5">
      <c r="A5" s="4" t="inlineStr">
        <is>
          <t>Jan</t>
        </is>
      </c>
      <c r="B5" s="4" t="inlineStr">
        <is>
          <t>Q1</t>
        </is>
      </c>
      <c r="C5" s="4" t="inlineStr">
        <is>
          <t>Dubai</t>
        </is>
      </c>
      <c r="D5" s="4" t="inlineStr">
        <is>
          <t>Sales</t>
        </is>
      </c>
      <c r="E5" s="4" t="inlineStr">
        <is>
          <t>Salaries</t>
        </is>
      </c>
      <c r="F5" s="5" t="n">
        <v>42000</v>
      </c>
    </row>
    <row r="6">
      <c r="A6" s="6" t="inlineStr">
        <is>
          <t>Jan</t>
        </is>
      </c>
      <c r="B6" s="6" t="inlineStr">
        <is>
          <t>Q1</t>
        </is>
      </c>
      <c r="C6" s="6" t="inlineStr">
        <is>
          <t>Dubai</t>
        </is>
      </c>
      <c r="D6" s="6" t="inlineStr">
        <is>
          <t>Sales</t>
        </is>
      </c>
      <c r="E6" s="6" t="inlineStr">
        <is>
          <t>Commission</t>
        </is>
      </c>
      <c r="F6" s="7" t="n">
        <v>8500</v>
      </c>
    </row>
    <row r="7">
      <c r="A7" s="4" t="inlineStr">
        <is>
          <t>Jan</t>
        </is>
      </c>
      <c r="B7" s="4" t="inlineStr">
        <is>
          <t>Q1</t>
        </is>
      </c>
      <c r="C7" s="4" t="inlineStr">
        <is>
          <t>Abu Dhabi</t>
        </is>
      </c>
      <c r="D7" s="4" t="inlineStr">
        <is>
          <t>Sales</t>
        </is>
      </c>
      <c r="E7" s="4" t="inlineStr">
        <is>
          <t>Salaries</t>
        </is>
      </c>
      <c r="F7" s="5" t="n">
        <v>38000</v>
      </c>
    </row>
    <row r="8">
      <c r="A8" s="6" t="inlineStr">
        <is>
          <t>Jan</t>
        </is>
      </c>
      <c r="B8" s="6" t="inlineStr">
        <is>
          <t>Q1</t>
        </is>
      </c>
      <c r="C8" s="6" t="inlineStr">
        <is>
          <t>Abu Dhabi</t>
        </is>
      </c>
      <c r="D8" s="6" t="inlineStr">
        <is>
          <t>Marketing</t>
        </is>
      </c>
      <c r="E8" s="6" t="inlineStr">
        <is>
          <t>Advertising</t>
        </is>
      </c>
      <c r="F8" s="7" t="n">
        <v>15000</v>
      </c>
    </row>
    <row r="9">
      <c r="A9" s="4" t="inlineStr">
        <is>
          <t>Jan</t>
        </is>
      </c>
      <c r="B9" s="4" t="inlineStr">
        <is>
          <t>Q1</t>
        </is>
      </c>
      <c r="C9" s="4" t="inlineStr">
        <is>
          <t>Dubai</t>
        </is>
      </c>
      <c r="D9" s="4" t="inlineStr">
        <is>
          <t>Finance</t>
        </is>
      </c>
      <c r="E9" s="4" t="inlineStr">
        <is>
          <t>Salaries</t>
        </is>
      </c>
      <c r="F9" s="5" t="n">
        <v>28000</v>
      </c>
    </row>
    <row r="10">
      <c r="A10" s="6" t="inlineStr">
        <is>
          <t>Feb</t>
        </is>
      </c>
      <c r="B10" s="6" t="inlineStr">
        <is>
          <t>Q1</t>
        </is>
      </c>
      <c r="C10" s="6" t="inlineStr">
        <is>
          <t>Dubai</t>
        </is>
      </c>
      <c r="D10" s="6" t="inlineStr">
        <is>
          <t>Sales</t>
        </is>
      </c>
      <c r="E10" s="6" t="inlineStr">
        <is>
          <t>Salaries</t>
        </is>
      </c>
      <c r="F10" s="7" t="n">
        <v>42000</v>
      </c>
    </row>
    <row r="11">
      <c r="A11" s="4" t="inlineStr">
        <is>
          <t>Feb</t>
        </is>
      </c>
      <c r="B11" s="4" t="inlineStr">
        <is>
          <t>Q1</t>
        </is>
      </c>
      <c r="C11" s="4" t="inlineStr">
        <is>
          <t>Dubai</t>
        </is>
      </c>
      <c r="D11" s="4" t="inlineStr">
        <is>
          <t>Sales</t>
        </is>
      </c>
      <c r="E11" s="4" t="inlineStr">
        <is>
          <t>Commission</t>
        </is>
      </c>
      <c r="F11" s="5" t="n">
        <v>12000</v>
      </c>
    </row>
    <row r="12">
      <c r="A12" s="6" t="inlineStr">
        <is>
          <t>Feb</t>
        </is>
      </c>
      <c r="B12" s="6" t="inlineStr">
        <is>
          <t>Q1</t>
        </is>
      </c>
      <c r="C12" s="6" t="inlineStr">
        <is>
          <t>Abu Dhabi</t>
        </is>
      </c>
      <c r="D12" s="6" t="inlineStr">
        <is>
          <t>Sales</t>
        </is>
      </c>
      <c r="E12" s="6" t="inlineStr">
        <is>
          <t>Salaries</t>
        </is>
      </c>
      <c r="F12" s="7" t="n">
        <v>38000</v>
      </c>
    </row>
    <row r="13">
      <c r="A13" s="4" t="inlineStr">
        <is>
          <t>Feb</t>
        </is>
      </c>
      <c r="B13" s="4" t="inlineStr">
        <is>
          <t>Q1</t>
        </is>
      </c>
      <c r="C13" s="4" t="inlineStr">
        <is>
          <t>Abu Dhabi</t>
        </is>
      </c>
      <c r="D13" s="4" t="inlineStr">
        <is>
          <t>Marketing</t>
        </is>
      </c>
      <c r="E13" s="4" t="inlineStr">
        <is>
          <t>Advertising</t>
        </is>
      </c>
      <c r="F13" s="5" t="n">
        <v>18000</v>
      </c>
    </row>
    <row r="14">
      <c r="A14" s="6" t="inlineStr">
        <is>
          <t>Feb</t>
        </is>
      </c>
      <c r="B14" s="6" t="inlineStr">
        <is>
          <t>Q1</t>
        </is>
      </c>
      <c r="C14" s="6" t="inlineStr">
        <is>
          <t>Dubai</t>
        </is>
      </c>
      <c r="D14" s="6" t="inlineStr">
        <is>
          <t>Finance</t>
        </is>
      </c>
      <c r="E14" s="6" t="inlineStr">
        <is>
          <t>Salaries</t>
        </is>
      </c>
      <c r="F14" s="7" t="n">
        <v>28000</v>
      </c>
    </row>
    <row r="15">
      <c r="A15" s="4" t="inlineStr">
        <is>
          <t>Mar</t>
        </is>
      </c>
      <c r="B15" s="4" t="inlineStr">
        <is>
          <t>Q1</t>
        </is>
      </c>
      <c r="C15" s="4" t="inlineStr">
        <is>
          <t>Dubai</t>
        </is>
      </c>
      <c r="D15" s="4" t="inlineStr">
        <is>
          <t>Sales</t>
        </is>
      </c>
      <c r="E15" s="4" t="inlineStr">
        <is>
          <t>Salaries</t>
        </is>
      </c>
      <c r="F15" s="5" t="n">
        <v>42000</v>
      </c>
    </row>
    <row r="16">
      <c r="A16" s="6" t="inlineStr">
        <is>
          <t>Mar</t>
        </is>
      </c>
      <c r="B16" s="6" t="inlineStr">
        <is>
          <t>Q1</t>
        </is>
      </c>
      <c r="C16" s="6" t="inlineStr">
        <is>
          <t>Dubai</t>
        </is>
      </c>
      <c r="D16" s="6" t="inlineStr">
        <is>
          <t>Sales</t>
        </is>
      </c>
      <c r="E16" s="6" t="inlineStr">
        <is>
          <t>Commission</t>
        </is>
      </c>
      <c r="F16" s="7" t="n">
        <v>21000</v>
      </c>
    </row>
    <row r="17">
      <c r="A17" s="4" t="inlineStr">
        <is>
          <t>Mar</t>
        </is>
      </c>
      <c r="B17" s="4" t="inlineStr">
        <is>
          <t>Q1</t>
        </is>
      </c>
      <c r="C17" s="4" t="inlineStr">
        <is>
          <t>Abu Dhabi</t>
        </is>
      </c>
      <c r="D17" s="4" t="inlineStr">
        <is>
          <t>Sales</t>
        </is>
      </c>
      <c r="E17" s="4" t="inlineStr">
        <is>
          <t>Salaries</t>
        </is>
      </c>
      <c r="F17" s="5" t="n">
        <v>38000</v>
      </c>
    </row>
    <row r="18">
      <c r="A18" s="6" t="inlineStr">
        <is>
          <t>Mar</t>
        </is>
      </c>
      <c r="B18" s="6" t="inlineStr">
        <is>
          <t>Q1</t>
        </is>
      </c>
      <c r="C18" s="6" t="inlineStr">
        <is>
          <t>Abu Dhabi</t>
        </is>
      </c>
      <c r="D18" s="6" t="inlineStr">
        <is>
          <t>Marketing</t>
        </is>
      </c>
      <c r="E18" s="6" t="inlineStr">
        <is>
          <t>Advertising</t>
        </is>
      </c>
      <c r="F18" s="7" t="n">
        <v>22000</v>
      </c>
    </row>
    <row r="19">
      <c r="A19" s="4" t="inlineStr">
        <is>
          <t>Mar</t>
        </is>
      </c>
      <c r="B19" s="4" t="inlineStr">
        <is>
          <t>Q1</t>
        </is>
      </c>
      <c r="C19" s="4" t="inlineStr">
        <is>
          <t>Dubai</t>
        </is>
      </c>
      <c r="D19" s="4" t="inlineStr">
        <is>
          <t>Finance</t>
        </is>
      </c>
      <c r="E19" s="4" t="inlineStr">
        <is>
          <t>Salaries</t>
        </is>
      </c>
      <c r="F19" s="5" t="n">
        <v>28000</v>
      </c>
    </row>
    <row r="20">
      <c r="A20" s="6" t="inlineStr">
        <is>
          <t>Apr</t>
        </is>
      </c>
      <c r="B20" s="6" t="inlineStr">
        <is>
          <t>Q2</t>
        </is>
      </c>
      <c r="C20" s="6" t="inlineStr">
        <is>
          <t>Dubai</t>
        </is>
      </c>
      <c r="D20" s="6" t="inlineStr">
        <is>
          <t>Sales</t>
        </is>
      </c>
      <c r="E20" s="6" t="inlineStr">
        <is>
          <t>Salaries</t>
        </is>
      </c>
      <c r="F20" s="7" t="n">
        <v>42000</v>
      </c>
    </row>
    <row r="21">
      <c r="A21" s="4" t="inlineStr">
        <is>
          <t>Apr</t>
        </is>
      </c>
      <c r="B21" s="4" t="inlineStr">
        <is>
          <t>Q2</t>
        </is>
      </c>
      <c r="C21" s="4" t="inlineStr">
        <is>
          <t>Dubai</t>
        </is>
      </c>
      <c r="D21" s="4" t="inlineStr">
        <is>
          <t>Sales</t>
        </is>
      </c>
      <c r="E21" s="4" t="inlineStr">
        <is>
          <t>Commission</t>
        </is>
      </c>
      <c r="F21" s="5" t="n">
        <v>6000</v>
      </c>
    </row>
    <row r="22">
      <c r="A22" s="6" t="inlineStr">
        <is>
          <t>Apr</t>
        </is>
      </c>
      <c r="B22" s="6" t="inlineStr">
        <is>
          <t>Q2</t>
        </is>
      </c>
      <c r="C22" s="6" t="inlineStr">
        <is>
          <t>Abu Dhabi</t>
        </is>
      </c>
      <c r="D22" s="6" t="inlineStr">
        <is>
          <t>Sales</t>
        </is>
      </c>
      <c r="E22" s="6" t="inlineStr">
        <is>
          <t>Salaries</t>
        </is>
      </c>
      <c r="F22" s="7" t="n">
        <v>38000</v>
      </c>
    </row>
    <row r="23">
      <c r="A23" s="4" t="inlineStr">
        <is>
          <t>Apr</t>
        </is>
      </c>
      <c r="B23" s="4" t="inlineStr">
        <is>
          <t>Q2</t>
        </is>
      </c>
      <c r="C23" s="4" t="inlineStr">
        <is>
          <t>Abu Dhabi</t>
        </is>
      </c>
      <c r="D23" s="4" t="inlineStr">
        <is>
          <t>Marketing</t>
        </is>
      </c>
      <c r="E23" s="4" t="inlineStr">
        <is>
          <t>Advertising</t>
        </is>
      </c>
      <c r="F23" s="5" t="n">
        <v>9000</v>
      </c>
    </row>
    <row r="24">
      <c r="A24" s="6" t="inlineStr">
        <is>
          <t>Apr</t>
        </is>
      </c>
      <c r="B24" s="6" t="inlineStr">
        <is>
          <t>Q2</t>
        </is>
      </c>
      <c r="C24" s="6" t="inlineStr">
        <is>
          <t>Dubai</t>
        </is>
      </c>
      <c r="D24" s="6" t="inlineStr">
        <is>
          <t>Finance</t>
        </is>
      </c>
      <c r="E24" s="6" t="inlineStr">
        <is>
          <t>Salaries</t>
        </is>
      </c>
      <c r="F24" s="7" t="n">
        <v>28000</v>
      </c>
    </row>
    <row r="25">
      <c r="A25" s="4" t="inlineStr">
        <is>
          <t>May</t>
        </is>
      </c>
      <c r="B25" s="4" t="inlineStr">
        <is>
          <t>Q2</t>
        </is>
      </c>
      <c r="C25" s="4" t="inlineStr">
        <is>
          <t>Dubai</t>
        </is>
      </c>
      <c r="D25" s="4" t="inlineStr">
        <is>
          <t>Sales</t>
        </is>
      </c>
      <c r="E25" s="4" t="inlineStr">
        <is>
          <t>Salaries</t>
        </is>
      </c>
      <c r="F25" s="5" t="n">
        <v>42000</v>
      </c>
    </row>
    <row r="26">
      <c r="A26" s="6" t="inlineStr">
        <is>
          <t>May</t>
        </is>
      </c>
      <c r="B26" s="6" t="inlineStr">
        <is>
          <t>Q2</t>
        </is>
      </c>
      <c r="C26" s="6" t="inlineStr">
        <is>
          <t>Dubai</t>
        </is>
      </c>
      <c r="D26" s="6" t="inlineStr">
        <is>
          <t>Sales</t>
        </is>
      </c>
      <c r="E26" s="6" t="inlineStr">
        <is>
          <t>Commission</t>
        </is>
      </c>
      <c r="F26" s="7" t="n">
        <v>5500</v>
      </c>
    </row>
    <row r="27">
      <c r="A27" s="4" t="inlineStr">
        <is>
          <t>May</t>
        </is>
      </c>
      <c r="B27" s="4" t="inlineStr">
        <is>
          <t>Q2</t>
        </is>
      </c>
      <c r="C27" s="4" t="inlineStr">
        <is>
          <t>Abu Dhabi</t>
        </is>
      </c>
      <c r="D27" s="4" t="inlineStr">
        <is>
          <t>Sales</t>
        </is>
      </c>
      <c r="E27" s="4" t="inlineStr">
        <is>
          <t>Salaries</t>
        </is>
      </c>
      <c r="F27" s="5" t="n">
        <v>38000</v>
      </c>
    </row>
    <row r="28">
      <c r="A28" s="6" t="inlineStr">
        <is>
          <t>May</t>
        </is>
      </c>
      <c r="B28" s="6" t="inlineStr">
        <is>
          <t>Q2</t>
        </is>
      </c>
      <c r="C28" s="6" t="inlineStr">
        <is>
          <t>Abu Dhabi</t>
        </is>
      </c>
      <c r="D28" s="6" t="inlineStr">
        <is>
          <t>Marketing</t>
        </is>
      </c>
      <c r="E28" s="6" t="inlineStr">
        <is>
          <t>Advertising</t>
        </is>
      </c>
      <c r="F28" s="7" t="n">
        <v>7500</v>
      </c>
    </row>
    <row r="29">
      <c r="A29" s="4" t="inlineStr">
        <is>
          <t>May</t>
        </is>
      </c>
      <c r="B29" s="4" t="inlineStr">
        <is>
          <t>Q2</t>
        </is>
      </c>
      <c r="C29" s="4" t="inlineStr">
        <is>
          <t>Dubai</t>
        </is>
      </c>
      <c r="D29" s="4" t="inlineStr">
        <is>
          <t>Finance</t>
        </is>
      </c>
      <c r="E29" s="4" t="inlineStr">
        <is>
          <t>Salaries</t>
        </is>
      </c>
      <c r="F29" s="5" t="n">
        <v>28000</v>
      </c>
    </row>
    <row r="30">
      <c r="A30" s="6" t="inlineStr">
        <is>
          <t>Jun</t>
        </is>
      </c>
      <c r="B30" s="6" t="inlineStr">
        <is>
          <t>Q2</t>
        </is>
      </c>
      <c r="C30" s="6" t="inlineStr">
        <is>
          <t>Dubai</t>
        </is>
      </c>
      <c r="D30" s="6" t="inlineStr">
        <is>
          <t>Sales</t>
        </is>
      </c>
      <c r="E30" s="6" t="inlineStr">
        <is>
          <t>Salaries</t>
        </is>
      </c>
      <c r="F30" s="7" t="n">
        <v>42000</v>
      </c>
    </row>
    <row r="31">
      <c r="A31" s="4" t="inlineStr">
        <is>
          <t>Jun</t>
        </is>
      </c>
      <c r="B31" s="4" t="inlineStr">
        <is>
          <t>Q2</t>
        </is>
      </c>
      <c r="C31" s="4" t="inlineStr">
        <is>
          <t>Dubai</t>
        </is>
      </c>
      <c r="D31" s="4" t="inlineStr">
        <is>
          <t>Sales</t>
        </is>
      </c>
      <c r="E31" s="4" t="inlineStr">
        <is>
          <t>Commission</t>
        </is>
      </c>
      <c r="F31" s="5" t="n">
        <v>7000</v>
      </c>
    </row>
    <row r="32">
      <c r="A32" s="6" t="inlineStr">
        <is>
          <t>Jun</t>
        </is>
      </c>
      <c r="B32" s="6" t="inlineStr">
        <is>
          <t>Q2</t>
        </is>
      </c>
      <c r="C32" s="6" t="inlineStr">
        <is>
          <t>Abu Dhabi</t>
        </is>
      </c>
      <c r="D32" s="6" t="inlineStr">
        <is>
          <t>Sales</t>
        </is>
      </c>
      <c r="E32" s="6" t="inlineStr">
        <is>
          <t>Salaries</t>
        </is>
      </c>
      <c r="F32" s="7" t="n">
        <v>38000</v>
      </c>
    </row>
    <row r="33">
      <c r="A33" s="4" t="inlineStr">
        <is>
          <t>Jun</t>
        </is>
      </c>
      <c r="B33" s="4" t="inlineStr">
        <is>
          <t>Q2</t>
        </is>
      </c>
      <c r="C33" s="4" t="inlineStr">
        <is>
          <t>Abu Dhabi</t>
        </is>
      </c>
      <c r="D33" s="4" t="inlineStr">
        <is>
          <t>Marketing</t>
        </is>
      </c>
      <c r="E33" s="4" t="inlineStr">
        <is>
          <t>Advertising</t>
        </is>
      </c>
      <c r="F33" s="5" t="n">
        <v>11000</v>
      </c>
    </row>
    <row r="34">
      <c r="A34" s="6" t="inlineStr">
        <is>
          <t>Jun</t>
        </is>
      </c>
      <c r="B34" s="6" t="inlineStr">
        <is>
          <t>Q2</t>
        </is>
      </c>
      <c r="C34" s="6" t="inlineStr">
        <is>
          <t>Dubai</t>
        </is>
      </c>
      <c r="D34" s="6" t="inlineStr">
        <is>
          <t>Finance</t>
        </is>
      </c>
      <c r="E34" s="6" t="inlineStr">
        <is>
          <t>Salaries</t>
        </is>
      </c>
      <c r="F34" s="7" t="n">
        <v>28000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62" customWidth="1" min="2" max="2"/>
    <col width="14" customWidth="1" min="3" max="3"/>
    <col width="38" customWidth="1" min="4" max="4"/>
  </cols>
  <sheetData>
    <row r="1">
      <c r="A1" s="1" t="inlineStr">
        <is>
          <t>SUMIFS Exercises — type your formula in column D</t>
        </is>
      </c>
    </row>
    <row r="2">
      <c r="A2" s="2" t="inlineStr">
        <is>
          <t>Data is on the 'Data' sheet (rows 5–34). All answers in AED.</t>
        </is>
      </c>
    </row>
    <row r="4">
      <c r="A4" s="3" t="inlineStr">
        <is>
          <t>#</t>
        </is>
      </c>
      <c r="B4" s="3" t="inlineStr">
        <is>
          <t>Question</t>
        </is>
      </c>
      <c r="C4" s="3" t="inlineStr">
        <is>
          <t>Difficulty</t>
        </is>
      </c>
      <c r="D4" s="3" t="inlineStr">
        <is>
          <t>Your Formula / Answer</t>
        </is>
      </c>
    </row>
    <row r="5" ht="28" customHeight="1">
      <c r="A5" s="8" t="n">
        <v>1</v>
      </c>
      <c r="B5" s="9" t="inlineStr">
        <is>
          <t>Total Commission paid across ALL months</t>
        </is>
      </c>
      <c r="C5" s="8" t="inlineStr">
        <is>
          <t>Level 1</t>
        </is>
      </c>
      <c r="D5" s="8" t="inlineStr"/>
    </row>
    <row r="6" ht="28" customHeight="1">
      <c r="A6" s="10" t="n">
        <v>2</v>
      </c>
      <c r="B6" s="11" t="inlineStr">
        <is>
          <t>Total spend in Abu Dhabi across ALL months and departments</t>
        </is>
      </c>
      <c r="C6" s="10" t="inlineStr">
        <is>
          <t>Level 1</t>
        </is>
      </c>
      <c r="D6" s="10" t="inlineStr"/>
    </row>
    <row r="7" ht="28" customHeight="1">
      <c r="A7" s="8" t="n">
        <v>3</v>
      </c>
      <c r="B7" s="9" t="inlineStr">
        <is>
          <t>Total Salaries paid in Q1 (all regions, all departments)</t>
        </is>
      </c>
      <c r="C7" s="8" t="inlineStr">
        <is>
          <t>Level 1</t>
        </is>
      </c>
      <c r="D7" s="8" t="inlineStr"/>
    </row>
    <row r="8" ht="28" customHeight="1">
      <c r="A8" s="10" t="n">
        <v>4</v>
      </c>
      <c r="B8" s="11" t="inlineStr">
        <is>
          <t>Total Commission for Dubai Sales in Feb</t>
        </is>
      </c>
      <c r="C8" s="10" t="inlineStr">
        <is>
          <t>Level 2</t>
        </is>
      </c>
      <c r="D8" s="10" t="inlineStr"/>
    </row>
    <row r="9" ht="28" customHeight="1">
      <c r="A9" s="8" t="n">
        <v>5</v>
      </c>
      <c r="B9" s="9" t="inlineStr">
        <is>
          <t>Total Advertising spend in Q2 (all regions)</t>
        </is>
      </c>
      <c r="C9" s="8" t="inlineStr">
        <is>
          <t>Level 2</t>
        </is>
      </c>
      <c r="D9" s="8" t="inlineStr"/>
    </row>
    <row r="10" ht="28" customHeight="1">
      <c r="A10" s="10" t="n">
        <v>6</v>
      </c>
      <c r="B10" s="11" t="inlineStr">
        <is>
          <t>Total Finance Salaries in Q1</t>
        </is>
      </c>
      <c r="C10" s="10" t="inlineStr">
        <is>
          <t>Level 2</t>
        </is>
      </c>
      <c r="D10" s="10" t="inlineStr"/>
    </row>
    <row r="11" ht="28" customHeight="1">
      <c r="A11" s="8" t="n">
        <v>7</v>
      </c>
      <c r="B11" s="9" t="inlineStr">
        <is>
          <t>Total Sales spend (all categories) in Abu Dhabi for Mar</t>
        </is>
      </c>
      <c r="C11" s="8" t="inlineStr">
        <is>
          <t>Level 2</t>
        </is>
      </c>
      <c r="D11" s="8" t="inlineStr"/>
    </row>
    <row r="12" ht="28" customHeight="1">
      <c r="A12" s="10" t="n">
        <v>8</v>
      </c>
      <c r="B12" s="11" t="inlineStr">
        <is>
          <t>Total Salaries in Dubai Sales department in Q2</t>
        </is>
      </c>
      <c r="C12" s="10" t="inlineStr">
        <is>
          <t>Level 3</t>
        </is>
      </c>
      <c r="D12" s="10" t="inlineStr"/>
    </row>
    <row r="13" ht="28" customHeight="1">
      <c r="A13" s="8" t="n">
        <v>9</v>
      </c>
      <c r="B13" s="9" t="inlineStr">
        <is>
          <t>Total Marketing Advertising spend in Abu Dhabi for Q1</t>
        </is>
      </c>
      <c r="C13" s="8" t="inlineStr">
        <is>
          <t>Level 3</t>
        </is>
      </c>
      <c r="D13" s="8" t="inlineStr"/>
    </row>
    <row r="14" ht="28" customHeight="1">
      <c r="A14" s="10" t="n">
        <v>10</v>
      </c>
      <c r="B14" s="11" t="inlineStr">
        <is>
          <t>Total Commission in Dubai in months where commission &gt; 10,000</t>
        </is>
      </c>
      <c r="C14" s="10" t="inlineStr">
        <is>
          <t>Level 3 ★</t>
        </is>
      </c>
      <c r="D14" s="10" t="inlineStr"/>
    </row>
    <row r="15" ht="28" customHeight="1">
      <c r="A15" s="8" t="n">
        <v>11</v>
      </c>
      <c r="B15" s="9" t="inlineStr">
        <is>
          <t>Which quarter had higher total spend — Q1 or Q2? Prove it with SUMIFS.</t>
        </is>
      </c>
      <c r="C15" s="8" t="inlineStr">
        <is>
          <t>Level 4 ★★</t>
        </is>
      </c>
      <c r="D15" s="8" t="inlineStr"/>
    </row>
    <row r="16" ht="28" customHeight="1">
      <c r="A16" s="10" t="n">
        <v>12</v>
      </c>
      <c r="B16" s="11" t="inlineStr">
        <is>
          <t>What % of total spend is Dubai vs Abu Dhabi? Use SUMIFS + division.</t>
        </is>
      </c>
      <c r="C16" s="10" t="inlineStr">
        <is>
          <t>Level 4 ★★</t>
        </is>
      </c>
      <c r="D16" s="10" t="inlineStr"/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70" customWidth="1" min="3" max="3"/>
  </cols>
  <sheetData>
    <row r="1">
      <c r="A1" s="1" t="inlineStr">
        <is>
          <t>Answer Key — SUMIFS Practice</t>
        </is>
      </c>
    </row>
    <row r="3">
      <c r="A3" s="12" t="inlineStr">
        <is>
          <t>#</t>
        </is>
      </c>
      <c r="B3" s="12" t="inlineStr">
        <is>
          <t>Answer (AED)</t>
        </is>
      </c>
      <c r="C3" s="12" t="inlineStr">
        <is>
          <t>Formula</t>
        </is>
      </c>
    </row>
    <row r="4">
      <c r="A4" s="13" t="n">
        <v>1</v>
      </c>
      <c r="B4" s="14" t="n">
        <v>60000</v>
      </c>
      <c r="C4" s="15">
        <f>SUMIFS(Data!F5:F34,Data!E5:E34,"Commission")</f>
        <v/>
      </c>
    </row>
    <row r="5">
      <c r="A5" s="13" t="n">
        <v>2</v>
      </c>
      <c r="B5" s="14" t="n">
        <v>237500</v>
      </c>
      <c r="C5" s="15">
        <f>SUMIFS(Data!F5:F34,Data!C5:C34,"Abu Dhabi")</f>
        <v/>
      </c>
    </row>
    <row r="6">
      <c r="A6" s="13" t="n">
        <v>3</v>
      </c>
      <c r="B6" s="14" t="n">
        <v>510000</v>
      </c>
      <c r="C6" s="15">
        <f>SUMIFS(Data!F5:F34,Data!B5:B34,"Q1",Data!E5:E34,"Salaries")</f>
        <v/>
      </c>
    </row>
    <row r="7">
      <c r="A7" s="13" t="n">
        <v>4</v>
      </c>
      <c r="B7" s="14" t="n">
        <v>12000</v>
      </c>
      <c r="C7" s="15">
        <f>SUMIFS(Data!F5:F34,Data!E5:E34,"Commission",Data!C5:C34,"Dubai",Data!A5:A34,"Feb")</f>
        <v/>
      </c>
    </row>
    <row r="8">
      <c r="A8" s="13" t="n">
        <v>5</v>
      </c>
      <c r="B8" s="14" t="n">
        <v>27500</v>
      </c>
      <c r="C8" s="15">
        <f>SUMIFS(Data!F5:F34,Data!B5:B34,"Q2",Data!E5:E34,"Advertising")</f>
        <v/>
      </c>
    </row>
    <row r="9">
      <c r="A9" s="13" t="n">
        <v>6</v>
      </c>
      <c r="B9" s="14" t="n">
        <v>84000</v>
      </c>
      <c r="C9" s="15">
        <f>SUMIFS(Data!F5:F34,Data!B5:B34,"Q1",Data!D5:D34,"Finance",Data!E5:E34,"Salaries")</f>
        <v/>
      </c>
    </row>
    <row r="10">
      <c r="A10" s="13" t="n">
        <v>7</v>
      </c>
      <c r="B10" s="14" t="n">
        <v>38000</v>
      </c>
      <c r="C10" s="15">
        <f>SUMIFS(Data!F5:F34,Data!C5:C34,"Abu Dhabi",Data!D5:D34,"Sales",Data!A5:A34,"Mar")</f>
        <v/>
      </c>
    </row>
    <row r="11">
      <c r="A11" s="13" t="n">
        <v>8</v>
      </c>
      <c r="B11" s="14" t="n">
        <v>168000</v>
      </c>
      <c r="C11" s="15">
        <f>SUMIFS(Data!F5:F34,Data!B5:B34,"Q2",Data!C5:C34,"Dubai",Data!D5:D34,"Sales",Data!E5:E34,"Salaries")</f>
        <v/>
      </c>
    </row>
    <row r="12">
      <c r="A12" s="13" t="n">
        <v>9</v>
      </c>
      <c r="B12" s="14" t="n">
        <v>55000</v>
      </c>
      <c r="C12" s="15">
        <f>SUMIFS(Data!F5:F34,Data!B5:B34,"Q1",Data!C5:C34,"Abu Dhabi",Data!D5:D34,"Marketing",Data!E5:E34,"Advertising")</f>
        <v/>
      </c>
    </row>
    <row r="13">
      <c r="A13" s="13" t="n">
        <v>10</v>
      </c>
      <c r="B13" s="14" t="n">
        <v>33000</v>
      </c>
      <c r="C13" s="15">
        <f>SUMIFS(Data!F5:F34,Data!C5:C34,"Dubai",Data!E5:E34,"Commission",Data!F5:F34,"&gt;10000")</f>
        <v/>
      </c>
    </row>
    <row r="14">
      <c r="A14" s="13" t="n">
        <v>11</v>
      </c>
      <c r="B14" s="16" t="inlineStr">
        <is>
          <t>Q1=583,500 | Q2=297,000 | Q1 higher</t>
        </is>
      </c>
      <c r="C14" s="15">
        <f>SUMIFS(Data!F5:F34,Data!B5:B34,"Q1") and =SUMIFS(Data!F5:F34,Data!B5:B34,"Q2")</f>
        <v/>
      </c>
    </row>
    <row r="15">
      <c r="A15" s="13" t="n">
        <v>12</v>
      </c>
      <c r="B15" s="16" t="inlineStr">
        <is>
          <t>Dubai≈71% | Abu Dhabi≈29%</t>
        </is>
      </c>
      <c r="C15" s="15">
        <f>SUMIFS(Data!F5:F34,Data!C5:C34,"Dubai")/SUM(Data!F5:F34)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2026-08-20T19:59:18Z</dcterms:created>
  <dcterms:modified xmlns:dcterms="http://purl.org/dc/terms/" xmlns:xsi="http://www.w3.org/2001/XMLSchema-instance" xsi:type="dcterms:W3CDTF">2026-08-20T19:59:18Z</dcterms:modified>
</cp:coreProperties>
</file>