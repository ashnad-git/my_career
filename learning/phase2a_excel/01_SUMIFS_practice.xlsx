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shnad/my_career/learning/phase2a_excel/"/>
    </mc:Choice>
  </mc:AlternateContent>
  <xr:revisionPtr revIDLastSave="0" documentId="13_ncr:1_{AC4EA071-E462-C143-9571-F098CB1257BB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ales Data" sheetId="1" r:id="rId1"/>
    <sheet name="Exercises" sheetId="2" r:id="rId2"/>
  </sheets>
  <definedNames>
    <definedName name="_xlnm._FilterDatabase" localSheetId="0" hidden="1">'Sales Data'!$A$1:$F$31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3" i="2"/>
  <c r="B11" i="2"/>
  <c r="B9" i="2"/>
  <c r="B7" i="2"/>
  <c r="B5" i="2"/>
</calcChain>
</file>

<file path=xl/sharedStrings.xml><?xml version="1.0" encoding="utf-8"?>
<sst xmlns="http://schemas.openxmlformats.org/spreadsheetml/2006/main" count="177" uniqueCount="46">
  <si>
    <t>Date</t>
  </si>
  <si>
    <t>Salesperson</t>
  </si>
  <si>
    <t>Region</t>
  </si>
  <si>
    <t>Department</t>
  </si>
  <si>
    <t>Product</t>
  </si>
  <si>
    <t>Amount (AED)</t>
  </si>
  <si>
    <t>Jan</t>
  </si>
  <si>
    <t>Ahmed Al Mansoori</t>
  </si>
  <si>
    <t>Dubai</t>
  </si>
  <si>
    <t>Fashion</t>
  </si>
  <si>
    <t>Jackets</t>
  </si>
  <si>
    <t>Sara Khalid</t>
  </si>
  <si>
    <t>Abu Dhabi</t>
  </si>
  <si>
    <t>Electronics</t>
  </si>
  <si>
    <t>Laptops</t>
  </si>
  <si>
    <t>Priya Nair</t>
  </si>
  <si>
    <t>Cosmetics</t>
  </si>
  <si>
    <t>Skincare</t>
  </si>
  <si>
    <t>James Okafor</t>
  </si>
  <si>
    <t>Sharjah</t>
  </si>
  <si>
    <t>Shoes</t>
  </si>
  <si>
    <t>Tablets</t>
  </si>
  <si>
    <t>Feb</t>
  </si>
  <si>
    <t>Dresses</t>
  </si>
  <si>
    <t>Perfumes</t>
  </si>
  <si>
    <t>Phones</t>
  </si>
  <si>
    <t>Rania Hosseini</t>
  </si>
  <si>
    <t>Mar</t>
  </si>
  <si>
    <t>Apr</t>
  </si>
  <si>
    <t>May</t>
  </si>
  <si>
    <t>Jun</t>
  </si>
  <si>
    <t>SUMIFS PRACTICE — Day 2 Review</t>
  </si>
  <si>
    <t>Write your SUMIFS formula in column B. Check your answer in column C.</t>
  </si>
  <si>
    <t>Data is on the 'Sales Data' sheet. Reference it like: 'Sales Data'!A:A</t>
  </si>
  <si>
    <t>Q1 (Warm-up): Total sales in Dubai</t>
  </si>
  <si>
    <t>[Answer hidden — ask Claude to reveal]</t>
  </si>
  <si>
    <t xml:space="preserve">  Hint: 1 condition</t>
  </si>
  <si>
    <t>Q2: Total sales by Ahmed Al Mansoori in Dubai</t>
  </si>
  <si>
    <t xml:space="preserve">  Hint: 2 conditions</t>
  </si>
  <si>
    <t>Q3: Total Fashion sales in Dubai</t>
  </si>
  <si>
    <t>Q4: Total Electronics sales in Abu Dhabi in Feb</t>
  </si>
  <si>
    <t xml:space="preserve">  Hint: 3 conditions</t>
  </si>
  <si>
    <t>Q5: Total Cosmetics sales in Dubai in Q1 (Jan+Feb+Mar — use 3 separate SUMIFS and add them)</t>
  </si>
  <si>
    <t xml:space="preserve">  Hint: Challenge</t>
  </si>
  <si>
    <t>Q6 (No hints — write from memory): Priya Nair's total Cosmetics sales across all months</t>
  </si>
  <si>
    <t xml:space="preserve">  Hint: No hints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</si>
</sst>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3"/>
      <color rgb="FF1E3A5F"/>
      <name val="Calibri"/>
      <family val="2"/>
    </font>
    <font>
      <i/>
      <sz val="9"/>
      <color rgb="FF666666"/>
      <name val="Calibri"/>
      <family val="2"/>
    </font>
    <font>
      <i/>
      <sz val="9"/>
      <color rgb="FFAAAAAA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2F7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4" borderId="0" xfId="0" applyFill="1" applyAlignment="1">
      <alignment wrapText="1"/>
    </xf>
    <xf numFmtId="0" fontId="4" fillId="0" borderId="0" xfId="0" applyFont="1"/>
    <xf numFmtId="3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P9" sqref="P9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12" customWidth="1"/>
    <col min="4" max="4" width="14" customWidth="1"/>
    <col min="5" max="5" width="12" customWidth="1"/>
    <col min="6" max="6" width="1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12400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E3" t="s">
        <v>14</v>
      </c>
      <c r="F3" s="4">
        <v>28900</v>
      </c>
    </row>
    <row r="4" spans="1:6" x14ac:dyDescent="0.2">
      <c r="A4" s="2" t="s">
        <v>6</v>
      </c>
      <c r="B4" s="2" t="s">
        <v>15</v>
      </c>
      <c r="C4" s="2" t="s">
        <v>8</v>
      </c>
      <c r="D4" s="2" t="s">
        <v>16</v>
      </c>
      <c r="E4" s="2" t="s">
        <v>17</v>
      </c>
      <c r="F4" s="3">
        <v>6700</v>
      </c>
    </row>
    <row r="5" spans="1:6" x14ac:dyDescent="0.2">
      <c r="A5" t="s">
        <v>6</v>
      </c>
      <c r="B5" t="s">
        <v>18</v>
      </c>
      <c r="C5" t="s">
        <v>19</v>
      </c>
      <c r="D5" t="s">
        <v>9</v>
      </c>
      <c r="E5" t="s">
        <v>20</v>
      </c>
      <c r="F5" s="4">
        <v>9100</v>
      </c>
    </row>
    <row r="6" spans="1:6" x14ac:dyDescent="0.2">
      <c r="A6" s="2" t="s">
        <v>6</v>
      </c>
      <c r="B6" s="2" t="s">
        <v>7</v>
      </c>
      <c r="C6" s="2" t="s">
        <v>8</v>
      </c>
      <c r="D6" s="2" t="s">
        <v>13</v>
      </c>
      <c r="E6" s="2" t="s">
        <v>21</v>
      </c>
      <c r="F6" s="3">
        <v>15600</v>
      </c>
    </row>
    <row r="7" spans="1:6" x14ac:dyDescent="0.2">
      <c r="A7" t="s">
        <v>22</v>
      </c>
      <c r="B7" t="s">
        <v>11</v>
      </c>
      <c r="C7" t="s">
        <v>12</v>
      </c>
      <c r="D7" t="s">
        <v>9</v>
      </c>
      <c r="E7" t="s">
        <v>23</v>
      </c>
      <c r="F7" s="4">
        <v>11200</v>
      </c>
    </row>
    <row r="8" spans="1:6" x14ac:dyDescent="0.2">
      <c r="A8" s="2" t="s">
        <v>22</v>
      </c>
      <c r="B8" s="2" t="s">
        <v>15</v>
      </c>
      <c r="C8" s="2" t="s">
        <v>8</v>
      </c>
      <c r="D8" s="2" t="s">
        <v>16</v>
      </c>
      <c r="E8" s="2" t="s">
        <v>24</v>
      </c>
      <c r="F8" s="3">
        <v>8300</v>
      </c>
    </row>
    <row r="9" spans="1:6" x14ac:dyDescent="0.2">
      <c r="A9" t="s">
        <v>22</v>
      </c>
      <c r="B9" t="s">
        <v>18</v>
      </c>
      <c r="C9" t="s">
        <v>19</v>
      </c>
      <c r="D9" t="s">
        <v>13</v>
      </c>
      <c r="E9" t="s">
        <v>25</v>
      </c>
      <c r="F9" s="4">
        <v>22500</v>
      </c>
    </row>
    <row r="10" spans="1:6" x14ac:dyDescent="0.2">
      <c r="A10" s="2" t="s">
        <v>22</v>
      </c>
      <c r="B10" s="2" t="s">
        <v>7</v>
      </c>
      <c r="C10" s="2" t="s">
        <v>8</v>
      </c>
      <c r="D10" s="2" t="s">
        <v>9</v>
      </c>
      <c r="E10" s="2" t="s">
        <v>10</v>
      </c>
      <c r="F10" s="3">
        <v>13800</v>
      </c>
    </row>
    <row r="11" spans="1:6" x14ac:dyDescent="0.2">
      <c r="A11" t="s">
        <v>22</v>
      </c>
      <c r="B11" t="s">
        <v>26</v>
      </c>
      <c r="C11" t="s">
        <v>8</v>
      </c>
      <c r="D11" t="s">
        <v>16</v>
      </c>
      <c r="E11" t="s">
        <v>17</v>
      </c>
      <c r="F11" s="4">
        <v>7400</v>
      </c>
    </row>
    <row r="12" spans="1:6" x14ac:dyDescent="0.2">
      <c r="A12" s="2" t="s">
        <v>27</v>
      </c>
      <c r="B12" s="2" t="s">
        <v>11</v>
      </c>
      <c r="C12" s="2" t="s">
        <v>12</v>
      </c>
      <c r="D12" s="2" t="s">
        <v>13</v>
      </c>
      <c r="E12" s="2" t="s">
        <v>14</v>
      </c>
      <c r="F12" s="3">
        <v>31200</v>
      </c>
    </row>
    <row r="13" spans="1:6" x14ac:dyDescent="0.2">
      <c r="A13" t="s">
        <v>27</v>
      </c>
      <c r="B13" t="s">
        <v>15</v>
      </c>
      <c r="C13" t="s">
        <v>8</v>
      </c>
      <c r="D13" t="s">
        <v>9</v>
      </c>
      <c r="E13" t="s">
        <v>20</v>
      </c>
      <c r="F13" s="4">
        <v>10500</v>
      </c>
    </row>
    <row r="14" spans="1:6" x14ac:dyDescent="0.2">
      <c r="A14" s="2" t="s">
        <v>27</v>
      </c>
      <c r="B14" s="2" t="s">
        <v>18</v>
      </c>
      <c r="C14" s="2" t="s">
        <v>19</v>
      </c>
      <c r="D14" s="2" t="s">
        <v>9</v>
      </c>
      <c r="E14" s="2" t="s">
        <v>23</v>
      </c>
      <c r="F14" s="3">
        <v>8900</v>
      </c>
    </row>
    <row r="15" spans="1:6" x14ac:dyDescent="0.2">
      <c r="A15" t="s">
        <v>27</v>
      </c>
      <c r="B15" t="s">
        <v>7</v>
      </c>
      <c r="C15" t="s">
        <v>8</v>
      </c>
      <c r="D15" t="s">
        <v>16</v>
      </c>
      <c r="E15" t="s">
        <v>24</v>
      </c>
      <c r="F15" s="4">
        <v>5600</v>
      </c>
    </row>
    <row r="16" spans="1:6" x14ac:dyDescent="0.2">
      <c r="A16" s="2" t="s">
        <v>27</v>
      </c>
      <c r="B16" s="2" t="s">
        <v>26</v>
      </c>
      <c r="C16" s="2" t="s">
        <v>8</v>
      </c>
      <c r="D16" s="2" t="s">
        <v>13</v>
      </c>
      <c r="E16" s="2" t="s">
        <v>21</v>
      </c>
      <c r="F16" s="3">
        <v>19800</v>
      </c>
    </row>
    <row r="17" spans="1:6" x14ac:dyDescent="0.2">
      <c r="A17" t="s">
        <v>28</v>
      </c>
      <c r="B17" t="s">
        <v>11</v>
      </c>
      <c r="C17" t="s">
        <v>12</v>
      </c>
      <c r="D17" t="s">
        <v>16</v>
      </c>
      <c r="E17" t="s">
        <v>17</v>
      </c>
      <c r="F17" s="4">
        <v>9200</v>
      </c>
    </row>
    <row r="18" spans="1:6" x14ac:dyDescent="0.2">
      <c r="A18" s="2" t="s">
        <v>28</v>
      </c>
      <c r="B18" s="2" t="s">
        <v>15</v>
      </c>
      <c r="C18" s="2" t="s">
        <v>8</v>
      </c>
      <c r="D18" s="2" t="s">
        <v>13</v>
      </c>
      <c r="E18" s="2" t="s">
        <v>25</v>
      </c>
      <c r="F18" s="3">
        <v>25700</v>
      </c>
    </row>
    <row r="19" spans="1:6" x14ac:dyDescent="0.2">
      <c r="A19" t="s">
        <v>28</v>
      </c>
      <c r="B19" t="s">
        <v>18</v>
      </c>
      <c r="C19" t="s">
        <v>19</v>
      </c>
      <c r="D19" t="s">
        <v>9</v>
      </c>
      <c r="E19" t="s">
        <v>10</v>
      </c>
      <c r="F19" s="4">
        <v>11300</v>
      </c>
    </row>
    <row r="20" spans="1:6" x14ac:dyDescent="0.2">
      <c r="A20" s="2" t="s">
        <v>28</v>
      </c>
      <c r="B20" s="2" t="s">
        <v>7</v>
      </c>
      <c r="C20" s="2" t="s">
        <v>8</v>
      </c>
      <c r="D20" s="2" t="s">
        <v>9</v>
      </c>
      <c r="E20" s="2" t="s">
        <v>20</v>
      </c>
      <c r="F20" s="3">
        <v>14100</v>
      </c>
    </row>
    <row r="21" spans="1:6" x14ac:dyDescent="0.2">
      <c r="A21" t="s">
        <v>28</v>
      </c>
      <c r="B21" t="s">
        <v>26</v>
      </c>
      <c r="C21" t="s">
        <v>8</v>
      </c>
      <c r="D21" t="s">
        <v>13</v>
      </c>
      <c r="E21" t="s">
        <v>14</v>
      </c>
      <c r="F21" s="4">
        <v>33400</v>
      </c>
    </row>
    <row r="22" spans="1:6" x14ac:dyDescent="0.2">
      <c r="A22" s="2" t="s">
        <v>29</v>
      </c>
      <c r="B22" s="2" t="s">
        <v>11</v>
      </c>
      <c r="C22" s="2" t="s">
        <v>12</v>
      </c>
      <c r="D22" s="2" t="s">
        <v>9</v>
      </c>
      <c r="E22" s="2" t="s">
        <v>23</v>
      </c>
      <c r="F22" s="3">
        <v>12600</v>
      </c>
    </row>
    <row r="23" spans="1:6" x14ac:dyDescent="0.2">
      <c r="A23" t="s">
        <v>29</v>
      </c>
      <c r="B23" t="s">
        <v>15</v>
      </c>
      <c r="C23" t="s">
        <v>8</v>
      </c>
      <c r="D23" t="s">
        <v>16</v>
      </c>
      <c r="E23" t="s">
        <v>24</v>
      </c>
      <c r="F23" s="4">
        <v>6100</v>
      </c>
    </row>
    <row r="24" spans="1:6" x14ac:dyDescent="0.2">
      <c r="A24" s="2" t="s">
        <v>29</v>
      </c>
      <c r="B24" s="2" t="s">
        <v>18</v>
      </c>
      <c r="C24" s="2" t="s">
        <v>19</v>
      </c>
      <c r="D24" s="2" t="s">
        <v>13</v>
      </c>
      <c r="E24" s="2" t="s">
        <v>21</v>
      </c>
      <c r="F24" s="3">
        <v>21000</v>
      </c>
    </row>
    <row r="25" spans="1:6" x14ac:dyDescent="0.2">
      <c r="A25" t="s">
        <v>29</v>
      </c>
      <c r="B25" t="s">
        <v>7</v>
      </c>
      <c r="C25" t="s">
        <v>8</v>
      </c>
      <c r="D25" t="s">
        <v>16</v>
      </c>
      <c r="E25" t="s">
        <v>17</v>
      </c>
      <c r="F25" s="4">
        <v>8800</v>
      </c>
    </row>
    <row r="26" spans="1:6" x14ac:dyDescent="0.2">
      <c r="A26" s="2" t="s">
        <v>29</v>
      </c>
      <c r="B26" s="2" t="s">
        <v>26</v>
      </c>
      <c r="C26" s="2" t="s">
        <v>8</v>
      </c>
      <c r="D26" s="2" t="s">
        <v>9</v>
      </c>
      <c r="E26" s="2" t="s">
        <v>10</v>
      </c>
      <c r="F26" s="3">
        <v>15200</v>
      </c>
    </row>
    <row r="27" spans="1:6" x14ac:dyDescent="0.2">
      <c r="A27" t="s">
        <v>30</v>
      </c>
      <c r="B27" t="s">
        <v>11</v>
      </c>
      <c r="C27" t="s">
        <v>12</v>
      </c>
      <c r="D27" t="s">
        <v>13</v>
      </c>
      <c r="E27" t="s">
        <v>25</v>
      </c>
      <c r="F27" s="4">
        <v>27300</v>
      </c>
    </row>
    <row r="28" spans="1:6" x14ac:dyDescent="0.2">
      <c r="A28" s="2" t="s">
        <v>30</v>
      </c>
      <c r="B28" s="2" t="s">
        <v>15</v>
      </c>
      <c r="C28" s="2" t="s">
        <v>8</v>
      </c>
      <c r="D28" s="2" t="s">
        <v>9</v>
      </c>
      <c r="E28" s="2" t="s">
        <v>20</v>
      </c>
      <c r="F28" s="3">
        <v>9700</v>
      </c>
    </row>
    <row r="29" spans="1:6" x14ac:dyDescent="0.2">
      <c r="A29" t="s">
        <v>30</v>
      </c>
      <c r="B29" t="s">
        <v>18</v>
      </c>
      <c r="C29" t="s">
        <v>19</v>
      </c>
      <c r="D29" t="s">
        <v>16</v>
      </c>
      <c r="E29" t="s">
        <v>17</v>
      </c>
      <c r="F29" s="4">
        <v>5900</v>
      </c>
    </row>
    <row r="30" spans="1:6" x14ac:dyDescent="0.2">
      <c r="A30" s="2" t="s">
        <v>30</v>
      </c>
      <c r="B30" s="2" t="s">
        <v>7</v>
      </c>
      <c r="C30" s="2" t="s">
        <v>8</v>
      </c>
      <c r="D30" s="2" t="s">
        <v>13</v>
      </c>
      <c r="E30" s="2" t="s">
        <v>14</v>
      </c>
      <c r="F30" s="3">
        <v>29600</v>
      </c>
    </row>
    <row r="31" spans="1:6" x14ac:dyDescent="0.2">
      <c r="A31" t="s">
        <v>30</v>
      </c>
      <c r="B31" t="s">
        <v>26</v>
      </c>
      <c r="C31" t="s">
        <v>8</v>
      </c>
      <c r="D31" t="s">
        <v>9</v>
      </c>
      <c r="E31" t="s">
        <v>23</v>
      </c>
      <c r="F31" s="4">
        <v>13400</v>
      </c>
    </row>
  </sheetData>
  <autoFilter ref="A1:F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55" customWidth="1"/>
    <col min="2" max="2" width="20" customWidth="1"/>
    <col min="3" max="3" width="28" customWidth="1"/>
  </cols>
  <sheetData>
    <row r="1" spans="1:3" ht="17" x14ac:dyDescent="0.2">
      <c r="A1" s="5" t="s">
        <v>31</v>
      </c>
    </row>
    <row r="2" spans="1:3" x14ac:dyDescent="0.2">
      <c r="A2" s="6" t="s">
        <v>32</v>
      </c>
    </row>
    <row r="3" spans="1:3" x14ac:dyDescent="0.2">
      <c r="A3" s="6" t="s">
        <v>33</v>
      </c>
    </row>
    <row r="5" spans="1:3" ht="16" x14ac:dyDescent="0.2">
      <c r="A5" s="7" t="s">
        <v>34</v>
      </c>
      <c r="B5" s="8">
        <f>SUMIFS('Sales Data'!F2:F31,'Sales Data'!C2:C31,'Sales Data'!C2)</f>
        <v>256100</v>
      </c>
      <c r="C5" s="9" t="s">
        <v>35</v>
      </c>
    </row>
    <row r="6" spans="1:3" x14ac:dyDescent="0.2">
      <c r="A6" s="6" t="s">
        <v>36</v>
      </c>
    </row>
    <row r="7" spans="1:3" ht="16" x14ac:dyDescent="0.2">
      <c r="A7" s="7" t="s">
        <v>37</v>
      </c>
      <c r="B7" s="8">
        <f>SUMIFS('Sales Data'!F2:F31,'Sales Data'!B2:B31,'Sales Data'!B2,'Sales Data'!C2:C31,'Sales Data'!C2)</f>
        <v>99900</v>
      </c>
      <c r="C7" s="9" t="s">
        <v>35</v>
      </c>
    </row>
    <row r="8" spans="1:3" x14ac:dyDescent="0.2">
      <c r="A8" s="6" t="s">
        <v>38</v>
      </c>
    </row>
    <row r="9" spans="1:3" ht="16" x14ac:dyDescent="0.2">
      <c r="A9" s="7" t="s">
        <v>39</v>
      </c>
      <c r="B9" s="8">
        <f>SUMIFS('Sales Data'!F2:F31,'Sales Data'!D2:D31,'Sales Data'!D2,'Sales Data'!C2:C31,'Sales Data'!C2)</f>
        <v>89100</v>
      </c>
      <c r="C9" s="9" t="s">
        <v>35</v>
      </c>
    </row>
    <row r="10" spans="1:3" x14ac:dyDescent="0.2">
      <c r="A10" s="6" t="s">
        <v>38</v>
      </c>
    </row>
    <row r="11" spans="1:3" ht="16" x14ac:dyDescent="0.2">
      <c r="A11" s="7" t="s">
        <v>40</v>
      </c>
      <c r="B11" s="8">
        <f>SUMIFS('Sales Data'!F2:F31,'Sales Data'!D2:D31,'Sales Data'!D3,'Sales Data'!C2:C31,'Sales Data'!C3,'Sales Data'!A2:A31,'Sales Data'!A7)</f>
        <v>0</v>
      </c>
      <c r="C11" s="9" t="s">
        <v>35</v>
      </c>
    </row>
    <row r="12" spans="1:3" x14ac:dyDescent="0.2">
      <c r="A12" s="6" t="s">
        <v>41</v>
      </c>
    </row>
    <row r="13" spans="1:3" ht="16" x14ac:dyDescent="0.2">
      <c r="A13" s="7" t="s">
        <v>42</v>
      </c>
      <c r="B13" s="10">
        <f>SUMIFS('Sales Data'!F2:F31,'Sales Data'!D2:D31,'Sales Data'!D4,'Sales Data'!C2:C31,'Sales Data'!C2,'Sales Data'!A2:A31,"Jan")+SUMIFS('Sales Data'!F2:F31,'Sales Data'!D2:D31,'Sales Data'!D4,'Sales Data'!C2:C31,'Sales Data'!C2,'Sales Data'!A2:A31,"Feb")+SUMIFS('Sales Data'!F2:F31,'Sales Data'!D2:D31,'Sales Data'!D4,'Sales Data'!C2:C31,'Sales Data'!C2,'Sales Data'!A2:A31,"Mar")</f>
        <v>28000</v>
      </c>
      <c r="C13" s="9" t="s">
        <v>35</v>
      </c>
    </row>
    <row r="14" spans="1:3" x14ac:dyDescent="0.2">
      <c r="A14" s="6" t="s">
        <v>43</v>
      </c>
    </row>
    <row r="15" spans="1:3" ht="16" x14ac:dyDescent="0.2">
      <c r="A15" s="7" t="s">
        <v>44</v>
      </c>
      <c r="B15" s="8">
        <f>SUMIFS('Sales Data'!F2:F31,'Sales Data'!B2:B31,'Sales Data'!B4,'Sales Data'!D2:D31,'Sales Data'!D4)</f>
        <v>21100</v>
      </c>
      <c r="C15" s="9" t="s">
        <v>35</v>
      </c>
    </row>
    <row r="16" spans="1:3" x14ac:dyDescent="0.2">
      <c r="A16" s="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Ashnad K</cp:lastModifiedBy>
  <dcterms:created xsi:type="dcterms:W3CDTF">2026-08-21T17:28:38Z</dcterms:created>
  <dcterms:modified xsi:type="dcterms:W3CDTF">2026-08-21T18:05:49Z</dcterms:modified>
</cp:coreProperties>
</file>